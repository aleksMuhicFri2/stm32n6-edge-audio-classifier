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0a2843be046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e01e0e4df7439f"/>
    <x:sheet xmlns:r="http://schemas.openxmlformats.org/officeDocument/2006/relationships" name="Per Class" sheetId="2" r:id="R9d12790d551b4529"/>
    <x:sheet xmlns:r="http://schemas.openxmlformats.org/officeDocument/2006/relationships" name="Confusion Matrix" sheetId="3" r:id="R291681a746ad464e"/>
    <x:sheet xmlns:r="http://schemas.openxmlformats.org/officeDocument/2006/relationships" name="Clip Predictions" sheetId="4" r:id="R26436618deb84737"/>
    <x:sheet xmlns:r="http://schemas.openxmlformats.org/officeDocument/2006/relationships" name="Training History" sheetId="5" r:id="R67ef8313f6ee4d96"/>
    <x:sheet xmlns:r="http://schemas.openxmlformats.org/officeDocument/2006/relationships" name="Protocol" sheetId="6" r:id="Rf441e82140d94b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"/>
    <x:numFmt numFmtId="202" formatCode="0.00%"/>
    <x:numFmt numFmtId="203" formatCode="#,##0"/>
    <x:numFmt numFmtId="204" formatCode="0.0"/>
    <x:numFmt numFmtId="205" formatCode="0.00000"/>
    <x:numFmt numFmtId="206" formatCode="0.000"/>
  </x:numFmts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595959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595959"/>
      <x:name val="Aptos"/>
    </x:font>
    <x:font>
      <x:b/>
      <x:sz val="10"/>
      <x:color rgb="FF17365D"/>
      <x:name val="Aptos"/>
    </x:font>
    <x:font>
      <x:i/>
      <x:sz val="10"/>
      <x:color rgb="FF595959"/>
      <x:name val="Aptos"/>
    </x:font>
    <x:font>
      <x:b/>
      <x:sz val="11"/>
      <x:color rgb="FF17365D"/>
      <x:name val="Carlito"/>
    </x:font>
    <x:font>
      <x:b/>
      <x:sz val="9"/>
      <x:color rgb="FFFFFFFF"/>
      <x:name val="Aptos"/>
    </x:font>
    <x:font>
      <x:sz val="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2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D9E2F3"/>
      </x:bottom>
    </x:border>
    <x:border>
      <x:top style="thin">
        <x:color rgb="FF17365D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17365D"/>
      </x:bottom>
    </x:border>
    <x:border>
      <x:left style="thin">
        <x:color rgb="FF17365D"/>
      </x:left>
      <x:right style="thin">
        <x:color rgb="FFD9E2F3"/>
      </x:right>
      <x:top style="thin">
        <x:color rgb="FF17365D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17365D"/>
      </x:top>
      <x:bottom style="thin">
        <x:color rgb="FFD9E2F3"/>
      </x:bottom>
    </x:border>
    <x:border>
      <x:left style="thin">
        <x:color rgb="FFD9E2F3"/>
      </x:left>
      <x:top style="thin">
        <x:color rgb="FF17365D"/>
      </x:top>
      <x:bottom style="thin">
        <x:color rgb="FFD9E2F3"/>
      </x:bottom>
    </x:border>
    <x:border>
      <x:left style="thin">
        <x:color rgb="FF17365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65D"/>
      </x:left>
      <x:right style="thin">
        <x:color rgb="FFD9E2F3"/>
      </x:right>
      <x:top style="thin">
        <x:color rgb="FFD9E2F3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17365D"/>
      </x:bottom>
    </x:border>
    <x:border>
      <x:left style="thin">
        <x:color rgb="FFD9E2F3"/>
      </x:left>
      <x:top style="thin">
        <x:color rgb="FFD9E2F3"/>
      </x:top>
      <x:bottom style="thin">
        <x:color rgb="FF17365D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3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/>
    </x:xf>
    <x:xf numFmtId="0" fontId="3" fillId="5" borderId="5" xfId="0" applyNumberFormat="1" applyFont="1" applyFill="1" applyBorder="1" applyAlignment="1">
      <x:alignment horizontal="center"/>
    </x:xf>
    <x:xf numFmtId="0" fontId="3" fillId="5" borderId="6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5" xfId="0" applyNumberFormat="1" applyFont="1" applyFill="1" applyBorder="1" applyAlignment="1">
      <x:alignment horizontal="center" vertical="center"/>
    </x:xf>
    <x:xf numFmtId="0" fontId="3" fillId="5" borderId="6" xfId="0" applyNumberFormat="1" applyFont="1" applyFill="1" applyBorder="1" applyAlignment="1">
      <x:alignment horizontal="center" vertical="center"/>
    </x:xf>
    <x:xf numFmtId="200" fontId="3" fillId="3" borderId="3" xfId="0" applyNumberFormat="1" applyFont="1" applyFill="1" applyBorder="1" applyAlignment="1">
      <x:alignment horizontal="center" vertical="center"/>
    </x:xf>
    <x:xf numFmtId="200" fontId="3" fillId="3" borderId="4" xfId="0" applyNumberFormat="1" applyFont="1" applyFill="1" applyBorder="1" applyAlignment="1">
      <x:alignment horizontal="center" vertical="center"/>
    </x:xf>
    <x:xf numFmtId="200" fontId="3" fillId="3" borderId="5" xfId="0" applyNumberFormat="1" applyFont="1" applyFill="1" applyBorder="1" applyAlignment="1">
      <x:alignment horizontal="center" vertical="center"/>
    </x:xf>
    <x:xf numFmtId="200" fontId="3" fillId="3" borderId="6" xfId="0" applyNumberFormat="1" applyFont="1" applyFill="1" applyBorder="1" applyAlignment="1">
      <x:alignment horizontal="center" vertical="center"/>
    </x:xf>
    <x:xf numFmtId="200" fontId="3" fillId="5" borderId="3" xfId="0" applyNumberFormat="1" applyFont="1" applyFill="1" applyBorder="1" applyAlignment="1">
      <x:alignment horizontal="center" vertical="center"/>
    </x:xf>
    <x:xf numFmtId="200" fontId="3" fillId="5" borderId="4" xfId="0" applyNumberFormat="1" applyFont="1" applyFill="1" applyBorder="1" applyAlignment="1">
      <x:alignment horizontal="center" vertical="center"/>
    </x:xf>
    <x:xf numFmtId="200" fontId="3" fillId="5" borderId="5" xfId="0" applyNumberFormat="1" applyFont="1" applyFill="1" applyBorder="1" applyAlignment="1">
      <x:alignment horizontal="center" vertical="center"/>
    </x:xf>
    <x:xf numFmtId="200" fontId="3" fillId="5" borderId="6" xfId="0" applyNumberFormat="1" applyFont="1" applyFill="1" applyBorder="1" applyAlignment="1">
      <x:alignment horizontal="center" vertical="center"/>
    </x:xf>
    <x:xf numFmtId="201" fontId="3" fillId="3" borderId="3" xfId="0" applyNumberFormat="1" applyFont="1" applyFill="1" applyBorder="1" applyAlignment="1">
      <x:alignment horizontal="center" vertical="center"/>
    </x:xf>
    <x:xf numFmtId="201" fontId="3" fillId="3" borderId="4" xfId="0" applyNumberFormat="1" applyFont="1" applyFill="1" applyBorder="1" applyAlignment="1">
      <x:alignment horizontal="center" vertical="center"/>
    </x:xf>
    <x:xf numFmtId="201" fontId="3" fillId="4" borderId="3" xfId="0" applyNumberFormat="1" applyFont="1" applyFill="1" applyBorder="1" applyAlignment="1">
      <x:alignment horizontal="center" vertical="center"/>
    </x:xf>
    <x:xf numFmtId="201" fontId="3" fillId="4" borderId="4" xfId="0" applyNumberFormat="1" applyFont="1" applyFill="1" applyBorder="1" applyAlignment="1">
      <x:alignment horizontal="center" vertical="center"/>
    </x:xf>
    <x:xf numFmtId="201" fontId="3" fillId="3" borderId="5" xfId="0" applyNumberFormat="1" applyFont="1" applyFill="1" applyBorder="1" applyAlignment="1">
      <x:alignment horizontal="center" vertical="center"/>
    </x:xf>
    <x:xf numFmtId="201" fontId="3" fillId="3" borderId="6" xfId="0" applyNumberFormat="1" applyFont="1" applyFill="1" applyBorder="1" applyAlignment="1">
      <x:alignment horizontal="center" vertical="center"/>
    </x:xf>
    <x:xf numFmtId="201" fontId="3" fillId="4" borderId="5" xfId="0" applyNumberFormat="1" applyFont="1" applyFill="1" applyBorder="1" applyAlignment="1">
      <x:alignment horizontal="center" vertical="center"/>
    </x:xf>
    <x:xf numFmtId="201" fontId="3" fillId="4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2" fontId="0" fillId="0" borderId="12" xfId="0" applyNumberFormat="1" applyFont="1" applyFill="1" applyBorder="1"/>
    <x:xf numFmtId="203" fontId="0" fillId="0" borderId="10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8" fillId="4" borderId="2" xfId="0" applyNumberFormat="1" applyFont="1" applyFill="1" applyBorder="1" applyAlignment="1">
      <x:alignment horizontal="center" vertic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2" xfId="0" applyNumberFormat="1" applyFont="1" applyFill="1" applyBorder="1" applyAlignment="1">
      <x:alignment horizontal="center" vertical="center"/>
    </x:xf>
    <x:xf numFmtId="200" fontId="9" fillId="3" borderId="3" xfId="0" applyNumberFormat="1" applyFont="1" applyFill="1" applyBorder="1" applyAlignment="1">
      <x:alignment horizontal="center" vertical="center"/>
    </x:xf>
    <x:xf numFmtId="200" fontId="9" fillId="3" borderId="4" xfId="0" applyNumberFormat="1" applyFont="1" applyFill="1" applyBorder="1" applyAlignment="1">
      <x:alignment horizontal="center" vertical="center"/>
    </x:xf>
    <x:xf numFmtId="201" fontId="9" fillId="3" borderId="3" xfId="0" applyNumberFormat="1" applyFont="1" applyFill="1" applyBorder="1" applyAlignment="1">
      <x:alignment horizontal="center" vertical="center"/>
    </x:xf>
    <x:xf numFmtId="201" fontId="9" fillId="3" borderId="4" xfId="0" applyNumberFormat="1" applyFont="1" applyFill="1" applyBorder="1" applyAlignment="1">
      <x:alignment horizontal="center" vertical="center"/>
    </x:xf>
    <x:xf numFmtId="201" fontId="9" fillId="4" borderId="3" xfId="0" applyNumberFormat="1" applyFont="1" applyFill="1" applyBorder="1" applyAlignment="1">
      <x:alignment horizontal="center" vertical="center"/>
    </x:xf>
    <x:xf numFmtId="201" fontId="9" fillId="4" borderId="4" xfId="0" applyNumberFormat="1" applyFont="1" applyFill="1" applyBorder="1" applyAlignment="1">
      <x:alignment horizontal="center" vertical="center"/>
    </x:xf>
    <x:xf numFmtId="200" fontId="9" fillId="5" borderId="3" xfId="0" applyNumberFormat="1" applyFont="1" applyFill="1" applyBorder="1" applyAlignment="1">
      <x:alignment horizontal="center" vertical="center"/>
    </x:xf>
    <x:xf numFmtId="200" fontId="9" fillId="5" borderId="4" xfId="0" applyNumberFormat="1" applyFont="1" applyFill="1" applyBorder="1" applyAlignment="1">
      <x:alignment horizontal="center" vertical="center"/>
    </x:xf>
    <x:xf numFmtId="200" fontId="9" fillId="3" borderId="5" xfId="0" applyNumberFormat="1" applyFont="1" applyFill="1" applyBorder="1" applyAlignment="1">
      <x:alignment horizontal="center" vertical="center"/>
    </x:xf>
    <x:xf numFmtId="200" fontId="9" fillId="3" borderId="6" xfId="0" applyNumberFormat="1" applyFont="1" applyFill="1" applyBorder="1" applyAlignment="1">
      <x:alignment horizontal="center" vertical="center"/>
    </x:xf>
    <x:xf numFmtId="201" fontId="9" fillId="3" borderId="5" xfId="0" applyNumberFormat="1" applyFont="1" applyFill="1" applyBorder="1" applyAlignment="1">
      <x:alignment horizontal="center" vertical="center"/>
    </x:xf>
    <x:xf numFmtId="201" fontId="9" fillId="3" borderId="6" xfId="0" applyNumberFormat="1" applyFont="1" applyFill="1" applyBorder="1" applyAlignment="1">
      <x:alignment horizontal="center" vertical="center"/>
    </x:xf>
    <x:xf numFmtId="201" fontId="9" fillId="4" borderId="5" xfId="0" applyNumberFormat="1" applyFont="1" applyFill="1" applyBorder="1" applyAlignment="1">
      <x:alignment horizontal="center" vertical="center"/>
    </x:xf>
    <x:xf numFmtId="201" fontId="9" fillId="4" borderId="6" xfId="0" applyNumberFormat="1" applyFont="1" applyFill="1" applyBorder="1" applyAlignment="1">
      <x:alignment horizontal="center" vertical="center"/>
    </x:xf>
    <x:xf numFmtId="200" fontId="9" fillId="5" borderId="5" xfId="0" applyNumberFormat="1" applyFont="1" applyFill="1" applyBorder="1" applyAlignment="1">
      <x:alignment horizontal="center" vertical="center"/>
    </x:xf>
    <x:xf numFmtId="200" fontId="9" fillId="5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/>
    <x:xf numFmtId="202" fontId="7" fillId="0" borderId="10" xfId="0" applyNumberFormat="1" applyFont="1" applyFill="1" applyBorder="1"/>
    <x:xf numFmtId="203" fontId="7" fillId="0" borderId="10" xfId="0" applyNumberFormat="1" applyFont="1" applyFill="1" applyBorder="1"/>
    <x:xf numFmtId="0" fontId="7" fillId="0" borderId="11" xfId="0" applyNumberFormat="1" applyFont="1" applyFill="1" applyBorder="1"/>
    <x:xf numFmtId="202" fontId="7" fillId="0" borderId="11" xfId="0" applyNumberFormat="1" applyFont="1" applyFill="1" applyBorder="1"/>
    <x:xf numFmtId="203" fontId="7" fillId="0" borderId="11" xfId="0" applyNumberFormat="1" applyFont="1" applyFill="1" applyBorder="1"/>
    <x:xf numFmtId="0" fontId="7" fillId="0" borderId="12" xfId="0" applyNumberFormat="1" applyFont="1" applyFill="1" applyBorder="1"/>
    <x:xf numFmtId="202" fontId="7" fillId="0" borderId="12" xfId="0" applyNumberFormat="1" applyFont="1" applyFill="1" applyBorder="1"/>
    <x:xf numFmtId="203" fontId="7" fillId="0" borderId="12" xfId="0" applyNumberFormat="1" applyFont="1" applyFill="1" applyBorder="1"/>
    <x:xf numFmtId="0" fontId="10" fillId="7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6" xfId="0" applyNumberFormat="1" applyFont="1" applyFill="1" applyBorder="1"/>
    <x:xf numFmtId="200" fontId="0" fillId="0" borderId="12" xfId="0" applyNumberFormat="1" applyFont="1" applyFill="1" applyBorder="1"/>
    <x:xf numFmtId="201" fontId="0" fillId="0" borderId="12" xfId="0" applyNumberFormat="1" applyFont="1" applyFill="1" applyBorder="1"/>
    <x:xf numFmtId="0" fontId="11" fillId="5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0" fontId="4" fillId="6" borderId="17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/>
    <x:xf numFmtId="201" fontId="0" fillId="0" borderId="2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11" fillId="5" borderId="22" xfId="0" applyNumberFormat="1" applyFont="1" applyFill="1" applyBorder="1"/>
    <x:xf numFmtId="201" fontId="0" fillId="0" borderId="23" xfId="0" applyNumberFormat="1" applyFont="1" applyFill="1" applyBorder="1" applyAlignment="1">
      <x:alignment horizontal="center"/>
    </x:xf>
    <x:xf numFmtId="201" fontId="0" fillId="0" borderId="24" xfId="0" applyNumberFormat="1" applyFont="1" applyFill="1" applyBorder="1" applyAlignment="1">
      <x:alignment horizontal="center"/>
    </x:xf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/>
    <x:xf numFmtId="201" fontId="7" fillId="0" borderId="21" xfId="0" applyNumberFormat="1" applyFont="1" applyFill="1" applyBorder="1" applyAlignment="1">
      <x:alignment horizontal="center"/>
    </x:xf>
    <x:xf numFmtId="201" fontId="7" fillId="0" borderId="1" xfId="0" applyNumberFormat="1" applyFont="1" applyFill="1" applyBorder="1" applyAlignment="1">
      <x:alignment horizontal="center"/>
    </x:xf>
    <x:xf numFmtId="0" fontId="9" fillId="5" borderId="22" xfId="0" applyNumberFormat="1" applyFont="1" applyFill="1" applyBorder="1"/>
    <x:xf numFmtId="201" fontId="7" fillId="0" borderId="23" xfId="0" applyNumberFormat="1" applyFont="1" applyFill="1" applyBorder="1" applyAlignment="1">
      <x:alignment horizontal="center"/>
    </x:xf>
    <x:xf numFmtId="201" fontId="7" fillId="0" borderId="24" xfId="0" applyNumberFormat="1" applyFont="1" applyFill="1" applyBorder="1" applyAlignment="1">
      <x:alignment horizontal="center"/>
    </x:xf>
    <x:xf numFmtId="0" fontId="12" fillId="6" borderId="13" xfId="0" applyNumberFormat="1" applyFont="1" applyFill="1" applyBorder="1" applyAlignment="1">
      <x:alignment vertical="center" wrapText="1"/>
    </x:xf>
    <x:xf numFmtId="0" fontId="12" fillId="6" borderId="14" xfId="0" applyNumberFormat="1" applyFont="1" applyFill="1" applyBorder="1" applyAlignment="1">
      <x:alignment vertical="center" wrapText="1"/>
    </x:xf>
    <x:xf numFmtId="0" fontId="13" fillId="0" borderId="15" xfId="0" applyNumberFormat="1" applyFont="1" applyFill="1" applyBorder="1"/>
    <x:xf numFmtId="0" fontId="13" fillId="0" borderId="11" xfId="0" applyNumberFormat="1" applyFont="1" applyFill="1" applyBorder="1"/>
    <x:xf numFmtId="201" fontId="13" fillId="0" borderId="11" xfId="0" applyNumberFormat="1" applyFont="1" applyFill="1" applyBorder="1"/>
    <x:xf numFmtId="200" fontId="13" fillId="0" borderId="11" xfId="0" applyNumberFormat="1" applyFont="1" applyFill="1" applyBorder="1"/>
    <x:xf numFmtId="0" fontId="13" fillId="0" borderId="16" xfId="0" applyNumberFormat="1" applyFont="1" applyFill="1" applyBorder="1"/>
    <x:xf numFmtId="0" fontId="13" fillId="0" borderId="12" xfId="0" applyNumberFormat="1" applyFont="1" applyFill="1" applyBorder="1"/>
    <x:xf numFmtId="201" fontId="13" fillId="0" borderId="12" xfId="0" applyNumberFormat="1" applyFont="1" applyFill="1" applyBorder="1"/>
    <x:xf numFmtId="200" fontId="13" fillId="0" borderId="12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0" borderId="11" xfId="0" applyNumberFormat="1" applyFont="1" applyFill="1" applyBorder="1"/>
    <x:xf numFmtId="206" fontId="0" fillId="0" borderId="11" xfId="0" applyNumberFormat="1" applyFont="1" applyFill="1" applyBorder="1"/>
    <x:xf numFmtId="205" fontId="0" fillId="0" borderId="12" xfId="0" applyNumberFormat="1" applyFont="1" applyFill="1" applyBorder="1"/>
    <x:xf numFmtId="206" fontId="0" fillId="0" borderId="12" xfId="0" applyNumberFormat="1" applyFont="1" applyFill="1" applyBorder="1"/>
    <x:xf numFmtId="0" fontId="13" fillId="0" borderId="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4CCCC"/>
        </x:patternFill>
      </x:fill>
    </x:dxf>
    <x:dxf>
      <x:fill>
        <x:patternFill patternType="solid">
          <x:bgColor rgb="FFF7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da197792e494c" /><Relationship Type="http://schemas.openxmlformats.org/officeDocument/2006/relationships/theme" Target="/xl/theme/theme1.xml" Id="R550f3db7790f472a" /><Relationship Type="http://schemas.openxmlformats.org/officeDocument/2006/relationships/sharedStrings" Target="/xl/sharedStrings.xml" Id="Rbb19a50ea5d242b4" /><Relationship Type="http://schemas.openxmlformats.org/officeDocument/2006/relationships/worksheet" Target="/xl/worksheets/sheet1.xml" Id="R06e01e0e4df7439f" /><Relationship Type="http://schemas.openxmlformats.org/officeDocument/2006/relationships/worksheet" Target="/xl/worksheets/sheet2.xml" Id="R9d12790d551b4529" /><Relationship Type="http://schemas.openxmlformats.org/officeDocument/2006/relationships/worksheet" Target="/xl/worksheets/sheet3.xml" Id="R291681a746ad464e" /><Relationship Type="http://schemas.openxmlformats.org/officeDocument/2006/relationships/worksheet" Target="/xl/worksheets/sheet4.xml" Id="R26436618deb84737" /><Relationship Type="http://schemas.openxmlformats.org/officeDocument/2006/relationships/worksheet" Target="/xl/worksheets/sheet5.xml" Id="R67ef8313f6ee4d96" /><Relationship Type="http://schemas.openxmlformats.org/officeDocument/2006/relationships/worksheet" Target="/xl/worksheets/sheet6.xml" Id="Rf441e82140d94b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289bcad3de437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bfdc879dbad404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550cd82a8344a38" /><Relationship Type="http://schemas.openxmlformats.org/officeDocument/2006/relationships/chart" Target="/xl/drawings/charts/chart4.xml" Id="R6c5cc530244949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Float and int8 accuracy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Patch accuracy</c:v>
          </c:tx>
          <c:cat>
            <c:strRef>
              <c:f>'Summary'!$A$8:$A$9</c:f>
              <c:strCache>
                <c:ptCount val="0"/>
              </c:strCache>
            </c:strRef>
          </c:cat>
          <c:val>
            <c:numRef>
              <c:f>'Summary'!$B$8:$B$9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Clip accuracy</c:v>
          </c:tx>
          <c:cat>
            <c:strRef>
              <c:f>'Summary'!$A$8:$A$9</c:f>
              <c:strCache>
                <c:ptCount val="0"/>
              </c:strCache>
            </c:strRef>
          </c:cat>
          <c:val>
            <c:numRef>
              <c:f>'Summary'!$C$8:$C$9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Per-class precision, recall, and F1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Precision</c:v>
          </c:tx>
          <c:cat>
            <c:strRef>
              <c:f>'Per Class'!$A$4:$A$13</c:f>
              <c:strCache>
                <c:ptCount val="0"/>
              </c:strCache>
            </c:strRef>
          </c:cat>
          <c:val>
            <c:numRef>
              <c:f>'Per Class'!$B$4:$B$13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cat>
            <c:strRef>
              <c:f>'Per Class'!$A$4:$A$13</c:f>
              <c:strCache>
                <c:ptCount val="0"/>
              </c:strCache>
            </c:strRef>
          </c:cat>
          <c:val>
            <c:numRef>
              <c:f>'Per Class'!$C$4:$C$13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F1</c:v>
          </c:tx>
          <c:cat>
            <c:strRef>
              <c:f>'Per Class'!$A$4:$A$13</c:f>
              <c:strCache>
                <c:ptCount val="0"/>
              </c:strCache>
            </c:strRef>
          </c:cat>
          <c:val>
            <c:numRef>
              <c:f>'Per Class'!$D$4:$D$13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accuracy by epoch</a:t>
            </a:r>
          </a:p>
        </c:rich>
      </c:tx>
    </c:title>
    <c:plotArea>
      <c:lineChart>
        <c:grouping val="standard"/>
        <c:ser>
          <c:idx val="0"/>
          <c:order val="0"/>
          <c:tx>
            <c:v>Train accuracy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'Training History'!$A$2:$A$51</c:f>
              <c:strCache>
                <c:ptCount val="0"/>
              </c:strCache>
            </c:strRef>
          </c:cat>
          <c:val>
            <c:numRef>
              <c:f>'Training History'!$B$2:$B$51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Validation accuracy</c:v>
          </c:tx>
          <c:spPr>
            <a:solidFill xmlns:a="http://schemas.openxmlformats.org/drawingml/2006/main">
              <a:srgbClr val="C65911"/>
            </a:solidFill>
          </c:spPr>
          <c:marker>
            <c:symbol val="none"/>
          </c:marker>
          <c:cat>
            <c:strRef>
              <c:f>'Training History'!$A$2:$A$51</c:f>
              <c:strCache>
                <c:ptCount val="0"/>
              </c:strCache>
            </c:strRef>
          </c:cat>
          <c:val>
            <c:numRef>
              <c:f>'Training History'!$E$2:$E$51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Training and validation loss</a:t>
            </a:r>
          </a:p>
        </c:rich>
      </c:tx>
    </c:title>
    <c:plotArea>
      <c:lineChart>
        <c:grouping val="standard"/>
        <c:ser>
          <c:idx val="0"/>
          <c:order val="0"/>
          <c:tx>
            <c:v>Train loss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'Training History'!$A$2:$A$51</c:f>
              <c:strCache>
                <c:ptCount val="0"/>
              </c:strCache>
            </c:strRef>
          </c:cat>
          <c:val>
            <c:numRef>
              <c:f>'Training History'!$D$2:$D$51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Validation loss</c:v>
          </c:tx>
          <c:spPr>
            <a:solidFill xmlns:a="http://schemas.openxmlformats.org/drawingml/2006/main">
              <a:srgbClr val="C65911"/>
            </a:solidFill>
          </c:spPr>
          <c:marker>
            <c:symbol val="none"/>
          </c:marker>
          <c:cat>
            <c:strRef>
              <c:f>'Training History'!$A$2:$A$51</c:f>
              <c:strCache>
                <c:ptCount val="0"/>
              </c:strCache>
            </c:strRef>
          </c:cat>
          <c:val>
            <c:numRef>
              <c:f>'Training History'!$F$2:$F$51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289bcad3de437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fdc879dbad404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50cd82a8344a38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5cc530244949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ipPredictionsTable" displayName="ClipPredictionsTable" ref="A1:K81" headerRowCount="1" totalsRowCount="0" totalsRowShown="0">
  <x:tableColumns count="11">
    <x:tableColumn id="1" name="clip_id"/>
    <x:tableColumn id="2" name="filename"/>
    <x:tableColumn id="3" name="actual_class"/>
    <x:tableColumn id="4" name="predicted_class"/>
    <x:tableColumn id="5" name="correct"/>
    <x:tableColumn id="6" name="patch_count"/>
    <x:tableColumn id="7" name="top1_score"/>
    <x:tableColumn id="8" name="top2_class"/>
    <x:tableColumn id="9" name="top2_score"/>
    <x:tableColumn id="10" name="top3_class"/>
    <x:tableColumn id="11" name="top3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1fdbf5991642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53430644fb7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1a2b050736440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542e046cc66a4f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09" t="str">
        <x:v>Useful-10 YAMNet-256 — Held-out Model Evaluation</x:v>
      </x:c>
      <x:c r="B1" s="110"/>
      <x:c r="C1" s="110"/>
      <x:c r="D1" s="110"/>
      <x:c r="E1" s="110"/>
      <x:c r="F1" s="110"/>
      <x:c r="G1" s="110"/>
      <x:c r="H1" s="110"/>
    </x:row>
    <x:row r="2">
      <x:c r="A2" s="110"/>
      <x:c r="B2" s="110"/>
      <x:c r="C2" s="110"/>
      <x:c r="D2" s="110"/>
      <x:c r="E2" s="110"/>
      <x:c r="F2" s="110"/>
      <x:c r="G2" s="110"/>
      <x:c r="H2" s="110"/>
    </x:row>
    <x:row r="3">
      <x:c r="A3" s="111" t="str">
        <x:v>Clip accuracy</x:v>
      </x:c>
      <x:c r="B3" s="112"/>
      <x:c r="C3" s="111" t="str">
        <x:v>Correct clips</x:v>
      </x:c>
      <x:c r="D3" s="112"/>
      <x:c r="E3" s="113" t="str">
        <x:v>Incorrect clips</x:v>
      </x:c>
      <x:c r="F3" s="114"/>
      <x:c r="G3" s="115" t="str">
        <x:v>Macro F1</x:v>
      </x:c>
      <x:c r="H3" s="116"/>
    </x:row>
    <x:row r="4">
      <x:c r="A4" s="117" t="n">
        <x:f>COUNTIF('Clip Predictions'!E2:E81,1)/COUNTA('Clip Predictions'!E2:E81)</x:f>
        <x:v>0.875</x:v>
      </x:c>
      <x:c r="B4" s="118"/>
      <x:c r="C4" s="119" t="n">
        <x:f>COUNTIF('Clip Predictions'!E2:E81,1)</x:f>
        <x:v>70</x:v>
      </x:c>
      <x:c r="D4" s="120"/>
      <x:c r="E4" s="121" t="n">
        <x:f>COUNTIF('Clip Predictions'!E2:E81,0)</x:f>
        <x:v>10</x:v>
      </x:c>
      <x:c r="F4" s="122"/>
      <x:c r="G4" s="123" t="n">
        <x:f>AVERAGE('Per Class'!D4:D13)</x:f>
        <x:v>0.8777404295051354</x:v>
      </x:c>
      <x:c r="H4" s="124"/>
    </x:row>
    <x:row r="5">
      <x:c r="A5" s="125"/>
      <x:c r="B5" s="126"/>
      <x:c r="C5" s="127"/>
      <x:c r="D5" s="128"/>
      <x:c r="E5" s="129"/>
      <x:c r="F5" s="130"/>
      <x:c r="G5" s="131"/>
      <x:c r="H5" s="132"/>
    </x:row>
    <x:row r="6">
      <x:c r="A6" s="110"/>
      <x:c r="B6" s="110"/>
      <x:c r="C6" s="110"/>
      <x:c r="D6" s="110"/>
      <x:c r="E6" s="110"/>
      <x:c r="F6" s="110"/>
      <x:c r="G6" s="110"/>
      <x:c r="H6" s="110"/>
    </x:row>
    <x:row r="7">
      <x:c r="A7" s="133" t="str">
        <x:v>Model form</x:v>
      </x:c>
      <x:c r="B7" s="134" t="str">
        <x:v>Patch accuracy</x:v>
      </x:c>
      <x:c r="C7" s="134" t="str">
        <x:v>Clip accuracy</x:v>
      </x:c>
      <x:c r="D7" s="134" t="str">
        <x:v>Model size (bytes)</x:v>
      </x:c>
      <x:c r="E7" s="135" t="str">
        <x:v>Accuracy change</x:v>
      </x:c>
      <x:c r="F7" s="110"/>
      <x:c r="G7" s="110"/>
      <x:c r="H7" s="110"/>
    </x:row>
    <x:row r="8">
      <x:c r="A8" s="136" t="str">
        <x:v>Float Keras</x:v>
      </x:c>
      <x:c r="B8" s="137" t="n">
        <x:v>0.7949</x:v>
      </x:c>
      <x:c r="C8" s="137" t="n">
        <x:v>0.875</x:v>
      </x:c>
      <x:c r="D8" s="138"/>
      <x:c r="E8" s="137"/>
      <x:c r="F8" s="110"/>
      <x:c r="G8" s="110"/>
      <x:c r="H8" s="110"/>
    </x:row>
    <x:row r="9">
      <x:c r="A9" s="139" t="str">
        <x:v>Quantized TFLite</x:v>
      </x:c>
      <x:c r="B9" s="140" t="n">
        <x:v>0.7848101265822784</x:v>
      </x:c>
      <x:c r="C9" s="140" t="n">
        <x:v>0.875</x:v>
      </x:c>
      <x:c r="D9" s="141" t="n">
        <x:v>185416</x:v>
      </x:c>
      <x:c r="E9" s="140" t="n">
        <x:f>C9-C8</x:f>
        <x:v>0</x:v>
      </x:c>
      <x:c r="F9" s="110"/>
      <x:c r="G9" s="110"/>
      <x:c r="H9" s="110"/>
    </x:row>
    <x:row r="10">
      <x:c r="A10" s="142" t="str">
        <x:v>Int8 minus float</x:v>
      </x:c>
      <x:c r="B10" s="143" t="n">
        <x:f>B9-B8</x:f>
        <x:v>-0.010089873417721607</x:v>
      </x:c>
      <x:c r="C10" s="143" t="n">
        <x:f>C9-C8</x:f>
        <x:v>0</x:v>
      </x:c>
      <x:c r="D10" s="144"/>
      <x:c r="E10" s="143"/>
      <x:c r="F10" s="110"/>
      <x:c r="G10" s="110"/>
      <x:c r="H10" s="110"/>
    </x:row>
    <x:row r="11">
      <x:c r="A11" s="110"/>
      <x:c r="B11" s="110"/>
      <x:c r="C11" s="110"/>
      <x:c r="D11" s="110"/>
      <x:c r="E11" s="110"/>
      <x:c r="F11" s="110"/>
      <x:c r="G11" s="110"/>
      <x:c r="H11" s="110"/>
    </x:row>
    <x:row r="12" ht="38" customHeight="1">
      <x:c r="A12" s="145" t="str">
        <x:v>Result: quantization preserved clip accuracy (70/80), so this model is a suitable candidate for STM32N6 compilation and controlled on-board testing.</x:v>
      </x:c>
      <x:c r="B12" s="145"/>
      <x:c r="C12" s="145"/>
      <x:c r="D12" s="145"/>
      <x:c r="E12" s="145"/>
      <x:c r="F12" s="145"/>
      <x:c r="G12" s="145"/>
      <x:c r="H12" s="145"/>
    </x:row>
    <x:row r="13">
      <x:c r="A13" s="110"/>
      <x:c r="B13" s="110"/>
      <x:c r="C13" s="110"/>
      <x:c r="D13" s="110"/>
      <x:c r="E13" s="110"/>
      <x:c r="F13" s="110"/>
      <x:c r="G13" s="110"/>
      <x:c r="H13" s="110"/>
    </x:row>
    <x:row r="14">
      <x:c r="A14" s="133" t="str">
        <x:v>Measure</x:v>
      </x:c>
      <x:c r="B14" s="135" t="str">
        <x:v>Value</x:v>
      </x:c>
      <x:c r="C14" s="110"/>
      <x:c r="D14" s="110"/>
      <x:c r="E14" s="110"/>
      <x:c r="F14" s="110"/>
      <x:c r="G14" s="110"/>
      <x:c r="H14" s="110"/>
    </x:row>
    <x:row r="15">
      <x:c r="A15" s="110" t="str">
        <x:v>Test clips</x:v>
      </x:c>
      <x:c r="B15" s="146" t="n">
        <x:v>80</x:v>
      </x:c>
      <x:c r="C15" s="110"/>
      <x:c r="D15" s="110"/>
      <x:c r="E15" s="110"/>
      <x:c r="F15" s="110"/>
      <x:c r="G15" s="110"/>
      <x:c r="H15" s="110"/>
    </x:row>
    <x:row r="16">
      <x:c r="A16" s="110" t="str">
        <x:v>Spectrogram patches</x:v>
      </x:c>
      <x:c r="B16" s="146" t="n">
        <x:v>395</x:v>
      </x:c>
      <x:c r="C16" s="110"/>
      <x:c r="D16" s="110"/>
      <x:c r="E16" s="110"/>
      <x:c r="F16" s="110"/>
      <x:c r="G16" s="110"/>
      <x:c r="H16" s="110"/>
    </x:row>
    <x:row r="17">
      <x:c r="A17" s="110" t="str">
        <x:v>Quantized model (KiB)</x:v>
      </x:c>
      <x:c r="B17" s="147" t="n">
        <x:v>181.0703125</x:v>
      </x:c>
      <x:c r="C17" s="110"/>
      <x:c r="D17" s="110"/>
      <x:c r="E17" s="110"/>
      <x:c r="F17" s="110"/>
      <x:c r="G17" s="110"/>
      <x:c r="H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</x:row>
    <x:row r="21">
      <x:c r="A21" s="110"/>
      <x:c r="B21" s="110"/>
      <x:c r="C21" s="110"/>
      <x:c r="D21" s="110"/>
      <x:c r="E21" s="110"/>
      <x:c r="F21" s="110"/>
      <x:c r="G21" s="110"/>
      <x:c r="H21" s="110"/>
    </x:row>
    <x:row r="22">
      <x:c r="A22" s="110"/>
      <x:c r="B22" s="110"/>
      <x:c r="C22" s="110"/>
      <x:c r="D22" s="110"/>
      <x:c r="E22" s="110"/>
      <x:c r="F22" s="110"/>
      <x:c r="G22" s="110"/>
      <x:c r="H22" s="110"/>
    </x:row>
    <x:row r="23">
      <x:c r="A23" s="110"/>
      <x:c r="B23" s="110"/>
      <x:c r="C23" s="110"/>
      <x:c r="D23" s="110"/>
      <x:c r="E23" s="110"/>
      <x:c r="F23" s="110"/>
      <x:c r="G23" s="110"/>
      <x:c r="H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</x:row>
    <x:row r="26">
      <x:c r="A26" s="110"/>
      <x:c r="B26" s="110"/>
      <x:c r="C26" s="110"/>
      <x:c r="D26" s="110"/>
      <x:c r="E26" s="110"/>
      <x:c r="F26" s="110"/>
      <x:c r="G26" s="110"/>
      <x:c r="H26" s="110"/>
    </x:row>
    <x:row r="27">
      <x:c r="A27" s="110"/>
      <x:c r="B27" s="110"/>
      <x:c r="C27" s="110"/>
      <x:c r="D27" s="110"/>
      <x:c r="E27" s="110"/>
      <x:c r="F27" s="110"/>
      <x:c r="G27" s="110"/>
      <x:c r="H27" s="110"/>
    </x:row>
  </x:sheetData>
  <x:mergeCells>
    <x:mergeCell ref="A1:H1"/>
    <x:mergeCell ref="A3:B3"/>
    <x:mergeCell ref="A4:B5"/>
    <x:mergeCell ref="C3:D3"/>
    <x:mergeCell ref="C4:D5"/>
    <x:mergeCell ref="E3:F3"/>
    <x:mergeCell ref="E4:F5"/>
    <x:mergeCell ref="G3:H3"/>
    <x:mergeCell ref="G4:H5"/>
    <x:mergeCell ref="A12:H12"/>
  </x:mergeCells>
  <x:pageMargins left="0.7" right="0.7" top="0.75" bottom="0.75" header="0.3" footer="0.3"/>
  <x:drawing xmlns:r="http://schemas.openxmlformats.org/officeDocument/2006/relationships" r:id="R141fdbf5991642d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30" customHeight="1">
      <x:c r="A1" s="109" t="str">
        <x:v>Per-class held-out metrics</x:v>
      </x:c>
      <x:c r="B1" s="110"/>
      <x:c r="C1" s="110"/>
      <x:c r="D1" s="110"/>
      <x:c r="E1" s="110"/>
      <x:c r="F1" s="110"/>
      <x:c r="G1" s="110"/>
      <x:c r="H1" s="110"/>
      <x:c r="I1" s="110"/>
      <x:c r="J1" s="110"/>
      <x:c r="K1" s="110"/>
      <x:c r="L1" s="110"/>
      <x:c r="M1" s="110"/>
      <x:c r="N1" s="110"/>
      <x:c r="O1" s="110"/>
      <x:c r="P1" s="110"/>
      <x:c r="Q1" s="110"/>
    </x:row>
    <x:row r="3">
      <x:c r="A3" s="150" t="str">
        <x:v>Class</x:v>
      </x:c>
      <x:c r="B3" s="151" t="str">
        <x:v>Precision</x:v>
      </x:c>
      <x:c r="C3" s="151" t="str">
        <x:v>Recall</x:v>
      </x:c>
      <x:c r="D3" s="151" t="str">
        <x:v>F1</x:v>
      </x:c>
      <x:c r="E3" s="151" t="str">
        <x:v>Support</x:v>
      </x:c>
      <x:c r="F3" s="151" t="str">
        <x:v>Correct</x:v>
      </x:c>
      <x:c r="G3" s="151" t="str">
        <x:v>Class accuracy</x:v>
      </x:c>
    </x:row>
    <x:row r="4">
      <x:c r="A4" s="152" t="str">
        <x:v>chainsaw</x:v>
      </x:c>
      <x:c r="B4" s="153" t="n">
        <x:v>0.8</x:v>
      </x:c>
      <x:c r="C4" s="153" t="n">
        <x:v>1</x:v>
      </x:c>
      <x:c r="D4" s="153" t="n">
        <x:v>0.8888888888888888</x:v>
      </x:c>
      <x:c r="E4" s="154" t="n">
        <x:v>8</x:v>
      </x:c>
      <x:c r="F4" s="154" t="n">
        <x:v>8</x:v>
      </x:c>
      <x:c r="G4" s="153" t="n">
        <x:v>1</x:v>
      </x:c>
    </x:row>
    <x:row r="5">
      <x:c r="A5" s="152" t="str">
        <x:v>clapping</x:v>
      </x:c>
      <x:c r="B5" s="153" t="n">
        <x:v>0.6</x:v>
      </x:c>
      <x:c r="C5" s="153" t="n">
        <x:v>0.75</x:v>
      </x:c>
      <x:c r="D5" s="153" t="n">
        <x:v>0.6666666666666666</x:v>
      </x:c>
      <x:c r="E5" s="154" t="n">
        <x:v>8</x:v>
      </x:c>
      <x:c r="F5" s="154" t="n">
        <x:v>6</x:v>
      </x:c>
      <x:c r="G5" s="153" t="n">
        <x:v>0.75</x:v>
      </x:c>
    </x:row>
    <x:row r="6">
      <x:c r="A6" s="152" t="str">
        <x:v>coughing</x:v>
      </x:c>
      <x:c r="B6" s="153" t="n">
        <x:v>1</x:v>
      </x:c>
      <x:c r="C6" s="153" t="n">
        <x:v>0.75</x:v>
      </x:c>
      <x:c r="D6" s="153" t="n">
        <x:v>0.8571428571428571</x:v>
      </x:c>
      <x:c r="E6" s="154" t="n">
        <x:v>8</x:v>
      </x:c>
      <x:c r="F6" s="154" t="n">
        <x:v>6</x:v>
      </x:c>
      <x:c r="G6" s="153" t="n">
        <x:v>0.75</x:v>
      </x:c>
    </x:row>
    <x:row r="7">
      <x:c r="A7" s="152" t="str">
        <x:v>crackling_fire</x:v>
      </x:c>
      <x:c r="B7" s="153" t="n">
        <x:v>0.8571428571428571</x:v>
      </x:c>
      <x:c r="C7" s="153" t="n">
        <x:v>0.75</x:v>
      </x:c>
      <x:c r="D7" s="153" t="n">
        <x:v>0.8</x:v>
      </x:c>
      <x:c r="E7" s="154" t="n">
        <x:v>8</x:v>
      </x:c>
      <x:c r="F7" s="154" t="n">
        <x:v>6</x:v>
      </x:c>
      <x:c r="G7" s="153" t="n">
        <x:v>0.75</x:v>
      </x:c>
    </x:row>
    <x:row r="8">
      <x:c r="A8" s="152" t="str">
        <x:v>crying_baby</x:v>
      </x:c>
      <x:c r="B8" s="153" t="n">
        <x:v>0.8888888888888888</x:v>
      </x:c>
      <x:c r="C8" s="153" t="n">
        <x:v>1</x:v>
      </x:c>
      <x:c r="D8" s="153" t="n">
        <x:v>0.9411764705882353</x:v>
      </x:c>
      <x:c r="E8" s="154" t="n">
        <x:v>8</x:v>
      </x:c>
      <x:c r="F8" s="154" t="n">
        <x:v>8</x:v>
      </x:c>
      <x:c r="G8" s="153" t="n">
        <x:v>1</x:v>
      </x:c>
    </x:row>
    <x:row r="9">
      <x:c r="A9" s="152" t="str">
        <x:v>dog</x:v>
      </x:c>
      <x:c r="B9" s="153" t="n">
        <x:v>0.7777777777777778</x:v>
      </x:c>
      <x:c r="C9" s="153" t="n">
        <x:v>0.875</x:v>
      </x:c>
      <x:c r="D9" s="153" t="n">
        <x:v>0.8235294117647058</x:v>
      </x:c>
      <x:c r="E9" s="154" t="n">
        <x:v>8</x:v>
      </x:c>
      <x:c r="F9" s="154" t="n">
        <x:v>7</x:v>
      </x:c>
      <x:c r="G9" s="153" t="n">
        <x:v>0.875</x:v>
      </x:c>
    </x:row>
    <x:row r="10">
      <x:c r="A10" s="152" t="str">
        <x:v>door_wood_knock</x:v>
      </x:c>
      <x:c r="B10" s="153" t="n">
        <x:v>1</x:v>
      </x:c>
      <x:c r="C10" s="153" t="n">
        <x:v>0.875</x:v>
      </x:c>
      <x:c r="D10" s="153" t="n">
        <x:v>0.9333333333333333</x:v>
      </x:c>
      <x:c r="E10" s="154" t="n">
        <x:v>8</x:v>
      </x:c>
      <x:c r="F10" s="154" t="n">
        <x:v>7</x:v>
      </x:c>
      <x:c r="G10" s="153" t="n">
        <x:v>0.875</x:v>
      </x:c>
    </x:row>
    <x:row r="11">
      <x:c r="A11" s="152" t="str">
        <x:v>footsteps</x:v>
      </x:c>
      <x:c r="B11" s="153" t="n">
        <x:v>1</x:v>
      </x:c>
      <x:c r="C11" s="153" t="n">
        <x:v>0.875</x:v>
      </x:c>
      <x:c r="D11" s="153" t="n">
        <x:v>0.9333333333333333</x:v>
      </x:c>
      <x:c r="E11" s="154" t="n">
        <x:v>8</x:v>
      </x:c>
      <x:c r="F11" s="154" t="n">
        <x:v>7</x:v>
      </x:c>
      <x:c r="G11" s="153" t="n">
        <x:v>0.875</x:v>
      </x:c>
    </x:row>
    <x:row r="12">
      <x:c r="A12" s="152" t="str">
        <x:v>glass_breaking</x:v>
      </x:c>
      <x:c r="B12" s="153" t="n">
        <x:v>1</x:v>
      </x:c>
      <x:c r="C12" s="153" t="n">
        <x:v>0.875</x:v>
      </x:c>
      <x:c r="D12" s="153" t="n">
        <x:v>0.9333333333333333</x:v>
      </x:c>
      <x:c r="E12" s="154" t="n">
        <x:v>8</x:v>
      </x:c>
      <x:c r="F12" s="154" t="n">
        <x:v>7</x:v>
      </x:c>
      <x:c r="G12" s="153" t="n">
        <x:v>0.875</x:v>
      </x:c>
    </x:row>
    <x:row r="13">
      <x:c r="A13" s="155" t="str">
        <x:v>siren</x:v>
      </x:c>
      <x:c r="B13" s="156" t="n">
        <x:v>1</x:v>
      </x:c>
      <x:c r="C13" s="156" t="n">
        <x:v>1</x:v>
      </x:c>
      <x:c r="D13" s="156" t="n">
        <x:v>1</x:v>
      </x:c>
      <x:c r="E13" s="157" t="n">
        <x:v>8</x:v>
      </x:c>
      <x:c r="F13" s="157" t="n">
        <x:v>8</x:v>
      </x:c>
      <x:c r="G13" s="156" t="n">
        <x:v>1</x:v>
      </x:c>
    </x:row>
  </x:sheetData>
  <x:mergeCells>
    <x:mergeCell ref="A1:G1"/>
  </x:mergeCells>
  <x:conditionalFormatting sqref="B4:D13">
    <x:cfRule type="colorScale" priority="1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c53430644fb74a9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109" t="str">
        <x:v>Confusion matrix — actual class by predicted class</x:v>
      </x:c>
      <x:c r="B1" s="110"/>
      <x:c r="C1" s="110"/>
      <x:c r="D1" s="110"/>
      <x:c r="E1" s="110"/>
      <x:c r="F1" s="110"/>
      <x:c r="G1" s="110"/>
      <x:c r="H1" s="110"/>
      <x:c r="I1" s="110"/>
      <x:c r="J1" s="110"/>
      <x:c r="K1" s="110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</x:row>
    <x:row r="3" ht="48" customHeight="1">
      <x:c r="A3" s="169" t="str">
        <x:v>actual_class</x:v>
      </x:c>
      <x:c r="B3" s="170" t="str">
        <x:v>chainsaw</x:v>
      </x:c>
      <x:c r="C3" s="170" t="str">
        <x:v>clapping</x:v>
      </x:c>
      <x:c r="D3" s="170" t="str">
        <x:v>coughing</x:v>
      </x:c>
      <x:c r="E3" s="170" t="str">
        <x:v>crackling_fire</x:v>
      </x:c>
      <x:c r="F3" s="170" t="str">
        <x:v>crying_baby</x:v>
      </x:c>
      <x:c r="G3" s="170" t="str">
        <x:v>dog</x:v>
      </x:c>
      <x:c r="H3" s="170" t="str">
        <x:v>door_wood_knock</x:v>
      </x:c>
      <x:c r="I3" s="170" t="str">
        <x:v>footsteps</x:v>
      </x:c>
      <x:c r="J3" s="170" t="str">
        <x:v>glass_breaking</x:v>
      </x:c>
      <x:c r="K3" s="171" t="str">
        <x:v>siren</x:v>
      </x:c>
    </x:row>
    <x:row r="4">
      <x:c r="A4" s="172" t="str">
        <x:v>chainsaw</x:v>
      </x:c>
      <x:c r="B4" s="173" t="n">
        <x:v>8</x:v>
      </x:c>
      <x:c r="C4" s="173" t="n">
        <x:v>0</x:v>
      </x:c>
      <x:c r="D4" s="173" t="n">
        <x:v>0</x:v>
      </x:c>
      <x:c r="E4" s="173" t="n">
        <x:v>0</x:v>
      </x:c>
      <x:c r="F4" s="173" t="n">
        <x:v>0</x:v>
      </x:c>
      <x:c r="G4" s="173" t="n">
        <x:v>0</x:v>
      </x:c>
      <x:c r="H4" s="173" t="n">
        <x:v>0</x:v>
      </x:c>
      <x:c r="I4" s="173" t="n">
        <x:v>0</x:v>
      </x:c>
      <x:c r="J4" s="173" t="n">
        <x:v>0</x:v>
      </x:c>
      <x:c r="K4" s="174" t="n">
        <x:v>0</x:v>
      </x:c>
    </x:row>
    <x:row r="5">
      <x:c r="A5" s="172" t="str">
        <x:v>clapping</x:v>
      </x:c>
      <x:c r="B5" s="173" t="n">
        <x:v>1</x:v>
      </x:c>
      <x:c r="C5" s="173" t="n">
        <x:v>6</x:v>
      </x:c>
      <x:c r="D5" s="173" t="n">
        <x:v>0</x:v>
      </x:c>
      <x:c r="E5" s="173" t="n">
        <x:v>1</x:v>
      </x:c>
      <x:c r="F5" s="173" t="n">
        <x:v>0</x:v>
      </x:c>
      <x:c r="G5" s="173" t="n">
        <x:v>0</x:v>
      </x:c>
      <x:c r="H5" s="173" t="n">
        <x:v>0</x:v>
      </x:c>
      <x:c r="I5" s="173" t="n">
        <x:v>0</x:v>
      </x:c>
      <x:c r="J5" s="173" t="n">
        <x:v>0</x:v>
      </x:c>
      <x:c r="K5" s="174" t="n">
        <x:v>0</x:v>
      </x:c>
    </x:row>
    <x:row r="6">
      <x:c r="A6" s="172" t="str">
        <x:v>coughing</x:v>
      </x:c>
      <x:c r="B6" s="173" t="n">
        <x:v>0</x:v>
      </x:c>
      <x:c r="C6" s="173" t="n">
        <x:v>0</x:v>
      </x:c>
      <x:c r="D6" s="173" t="n">
        <x:v>6</x:v>
      </x:c>
      <x:c r="E6" s="173" t="n">
        <x:v>0</x:v>
      </x:c>
      <x:c r="F6" s="173" t="n">
        <x:v>0</x:v>
      </x:c>
      <x:c r="G6" s="173" t="n">
        <x:v>2</x:v>
      </x:c>
      <x:c r="H6" s="173" t="n">
        <x:v>0</x:v>
      </x:c>
      <x:c r="I6" s="173" t="n">
        <x:v>0</x:v>
      </x:c>
      <x:c r="J6" s="173" t="n">
        <x:v>0</x:v>
      </x:c>
      <x:c r="K6" s="174" t="n">
        <x:v>0</x:v>
      </x:c>
    </x:row>
    <x:row r="7">
      <x:c r="A7" s="172" t="str">
        <x:v>crackling_fire</x:v>
      </x:c>
      <x:c r="B7" s="173" t="n">
        <x:v>1</x:v>
      </x:c>
      <x:c r="C7" s="173" t="n">
        <x:v>1</x:v>
      </x:c>
      <x:c r="D7" s="173" t="n">
        <x:v>0</x:v>
      </x:c>
      <x:c r="E7" s="173" t="n">
        <x:v>6</x:v>
      </x:c>
      <x:c r="F7" s="173" t="n">
        <x:v>0</x:v>
      </x:c>
      <x:c r="G7" s="173" t="n">
        <x:v>0</x:v>
      </x:c>
      <x:c r="H7" s="173" t="n">
        <x:v>0</x:v>
      </x:c>
      <x:c r="I7" s="173" t="n">
        <x:v>0</x:v>
      </x:c>
      <x:c r="J7" s="173" t="n">
        <x:v>0</x:v>
      </x:c>
      <x:c r="K7" s="174" t="n">
        <x:v>0</x:v>
      </x:c>
    </x:row>
    <x:row r="8">
      <x:c r="A8" s="172" t="str">
        <x:v>crying_baby</x:v>
      </x:c>
      <x:c r="B8" s="173" t="n">
        <x:v>0</x:v>
      </x:c>
      <x:c r="C8" s="173" t="n">
        <x:v>0</x:v>
      </x:c>
      <x:c r="D8" s="173" t="n">
        <x:v>0</x:v>
      </x:c>
      <x:c r="E8" s="173" t="n">
        <x:v>0</x:v>
      </x:c>
      <x:c r="F8" s="173" t="n">
        <x:v>8</x:v>
      </x:c>
      <x:c r="G8" s="173" t="n">
        <x:v>0</x:v>
      </x:c>
      <x:c r="H8" s="173" t="n">
        <x:v>0</x:v>
      </x:c>
      <x:c r="I8" s="173" t="n">
        <x:v>0</x:v>
      </x:c>
      <x:c r="J8" s="173" t="n">
        <x:v>0</x:v>
      </x:c>
      <x:c r="K8" s="174" t="n">
        <x:v>0</x:v>
      </x:c>
    </x:row>
    <x:row r="9">
      <x:c r="A9" s="172" t="str">
        <x:v>dog</x:v>
      </x:c>
      <x:c r="B9" s="173" t="n">
        <x:v>0</x:v>
      </x:c>
      <x:c r="C9" s="173" t="n">
        <x:v>0</x:v>
      </x:c>
      <x:c r="D9" s="173" t="n">
        <x:v>0</x:v>
      </x:c>
      <x:c r="E9" s="173" t="n">
        <x:v>0</x:v>
      </x:c>
      <x:c r="F9" s="173" t="n">
        <x:v>1</x:v>
      </x:c>
      <x:c r="G9" s="173" t="n">
        <x:v>7</x:v>
      </x:c>
      <x:c r="H9" s="173" t="n">
        <x:v>0</x:v>
      </x:c>
      <x:c r="I9" s="173" t="n">
        <x:v>0</x:v>
      </x:c>
      <x:c r="J9" s="173" t="n">
        <x:v>0</x:v>
      </x:c>
      <x:c r="K9" s="174" t="n">
        <x:v>0</x:v>
      </x:c>
    </x:row>
    <x:row r="10">
      <x:c r="A10" s="172" t="str">
        <x:v>door_wood_knock</x:v>
      </x:c>
      <x:c r="B10" s="173" t="n">
        <x:v>0</x:v>
      </x:c>
      <x:c r="C10" s="173" t="n">
        <x:v>1</x:v>
      </x:c>
      <x:c r="D10" s="173" t="n">
        <x:v>0</x:v>
      </x:c>
      <x:c r="E10" s="173" t="n">
        <x:v>0</x:v>
      </x:c>
      <x:c r="F10" s="173" t="n">
        <x:v>0</x:v>
      </x:c>
      <x:c r="G10" s="173" t="n">
        <x:v>0</x:v>
      </x:c>
      <x:c r="H10" s="173" t="n">
        <x:v>7</x:v>
      </x:c>
      <x:c r="I10" s="173" t="n">
        <x:v>0</x:v>
      </x:c>
      <x:c r="J10" s="173" t="n">
        <x:v>0</x:v>
      </x:c>
      <x:c r="K10" s="174" t="n">
        <x:v>0</x:v>
      </x:c>
    </x:row>
    <x:row r="11">
      <x:c r="A11" s="172" t="str">
        <x:v>footsteps</x:v>
      </x:c>
      <x:c r="B11" s="173" t="n">
        <x:v>0</x:v>
      </x:c>
      <x:c r="C11" s="173" t="n">
        <x:v>1</x:v>
      </x:c>
      <x:c r="D11" s="173" t="n">
        <x:v>0</x:v>
      </x:c>
      <x:c r="E11" s="173" t="n">
        <x:v>0</x:v>
      </x:c>
      <x:c r="F11" s="173" t="n">
        <x:v>0</x:v>
      </x:c>
      <x:c r="G11" s="173" t="n">
        <x:v>0</x:v>
      </x:c>
      <x:c r="H11" s="173" t="n">
        <x:v>0</x:v>
      </x:c>
      <x:c r="I11" s="173" t="n">
        <x:v>7</x:v>
      </x:c>
      <x:c r="J11" s="173" t="n">
        <x:v>0</x:v>
      </x:c>
      <x:c r="K11" s="174" t="n">
        <x:v>0</x:v>
      </x:c>
    </x:row>
    <x:row r="12">
      <x:c r="A12" s="172" t="str">
        <x:v>glass_breaking</x:v>
      </x:c>
      <x:c r="B12" s="173" t="n">
        <x:v>0</x:v>
      </x:c>
      <x:c r="C12" s="173" t="n">
        <x:v>1</x:v>
      </x:c>
      <x:c r="D12" s="173" t="n">
        <x:v>0</x:v>
      </x:c>
      <x:c r="E12" s="173" t="n">
        <x:v>0</x:v>
      </x:c>
      <x:c r="F12" s="173" t="n">
        <x:v>0</x:v>
      </x:c>
      <x:c r="G12" s="173" t="n">
        <x:v>0</x:v>
      </x:c>
      <x:c r="H12" s="173" t="n">
        <x:v>0</x:v>
      </x:c>
      <x:c r="I12" s="173" t="n">
        <x:v>0</x:v>
      </x:c>
      <x:c r="J12" s="173" t="n">
        <x:v>7</x:v>
      </x:c>
      <x:c r="K12" s="174" t="n">
        <x:v>0</x:v>
      </x:c>
    </x:row>
    <x:row r="13">
      <x:c r="A13" s="175" t="str">
        <x:v>siren</x:v>
      </x:c>
      <x:c r="B13" s="176" t="n">
        <x:v>0</x:v>
      </x:c>
      <x:c r="C13" s="176" t="n">
        <x:v>0</x:v>
      </x:c>
      <x:c r="D13" s="176" t="n">
        <x:v>0</x:v>
      </x:c>
      <x:c r="E13" s="176" t="n">
        <x:v>0</x:v>
      </x:c>
      <x:c r="F13" s="176" t="n">
        <x:v>0</x:v>
      </x:c>
      <x:c r="G13" s="176" t="n">
        <x:v>0</x:v>
      </x:c>
      <x:c r="H13" s="176" t="n">
        <x:v>0</x:v>
      </x:c>
      <x:c r="I13" s="176" t="n">
        <x:v>0</x:v>
      </x:c>
      <x:c r="J13" s="176" t="n">
        <x:v>0</x:v>
      </x:c>
      <x:c r="K13" s="177" t="n">
        <x:v>8</x:v>
      </x:c>
    </x:row>
  </x:sheetData>
  <x:mergeCells>
    <x:mergeCell ref="A1:K1"/>
  </x:mergeCells>
  <x:conditionalFormatting sqref="B4:K13">
    <x:cfRule type="colorScale" priority="1">
      <x:colorScale>
        <x:cfvo type="min"/>
        <x:cfvo type="percentile" val="50"/>
        <x:cfvo type="max"/>
        <x:color rgb="FFFFFFFF"/>
        <x:color rgb="FF9DC3E6"/>
        <x:color rgb="FF2F75B5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2" hidden="0" customWidth="1"/>
    <x:col min="3" max="3" width="21" hidden="0" customWidth="1"/>
    <x:col min="4" max="4" width="21" hidden="0" customWidth="1"/>
    <x:col min="5" max="5" width="11" hidden="0" customWidth="1"/>
    <x:col min="6" max="6" width="1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78" t="str">
        <x:v>clip_id</x:v>
      </x:c>
      <x:c r="B1" s="179" t="str">
        <x:v>filename</x:v>
      </x:c>
      <x:c r="C1" s="179" t="str">
        <x:v>actual_class</x:v>
      </x:c>
      <x:c r="D1" s="179" t="str">
        <x:v>predicted_class</x:v>
      </x:c>
      <x:c r="E1" s="179" t="str">
        <x:v>correct</x:v>
      </x:c>
      <x:c r="F1" s="179" t="str">
        <x:v>patch_count</x:v>
      </x:c>
      <x:c r="G1" s="179" t="str">
        <x:v>top1_score</x:v>
      </x:c>
      <x:c r="H1" s="179" t="str">
        <x:v>top2_class</x:v>
      </x:c>
      <x:c r="I1" s="179" t="str">
        <x:v>top2_score</x:v>
      </x:c>
      <x:c r="J1" s="179" t="str">
        <x:v>top3_class</x:v>
      </x:c>
      <x:c r="K1" s="179" t="str">
        <x:v>top3_score</x:v>
      </x:c>
    </x:row>
    <x:row r="2">
      <x:c r="A2" s="180" t="n">
        <x:v>0</x:v>
      </x:c>
      <x:c r="B2" s="181" t="str">
        <x:v>5-170338-A-41.wav</x:v>
      </x:c>
      <x:c r="C2" s="181" t="str">
        <x:v>chainsaw</x:v>
      </x:c>
      <x:c r="D2" s="181" t="str">
        <x:v>chainsaw</x:v>
      </x:c>
      <x:c r="E2" s="182" t="n">
        <x:v>1</x:v>
      </x:c>
      <x:c r="F2" s="181" t="n">
        <x:v>6</x:v>
      </x:c>
      <x:c r="G2" s="183" t="n">
        <x:v>0.8841145634651184</x:v>
      </x:c>
      <x:c r="H2" s="181" t="str">
        <x:v>siren</x:v>
      </x:c>
      <x:c r="I2" s="183" t="n">
        <x:v>0.0403645820915699</x:v>
      </x:c>
      <x:c r="J2" s="181" t="str">
        <x:v>crackling_fire</x:v>
      </x:c>
      <x:c r="K2" s="183" t="n">
        <x:v>0.01953125</x:v>
      </x:c>
    </x:row>
    <x:row r="3">
      <x:c r="A3" s="180" t="n">
        <x:v>1</x:v>
      </x:c>
      <x:c r="B3" s="181" t="str">
        <x:v>5-170338-B-41.wav</x:v>
      </x:c>
      <x:c r="C3" s="181" t="str">
        <x:v>chainsaw</x:v>
      </x:c>
      <x:c r="D3" s="181" t="str">
        <x:v>chainsaw</x:v>
      </x:c>
      <x:c r="E3" s="182" t="n">
        <x:v>1</x:v>
      </x:c>
      <x:c r="F3" s="181" t="n">
        <x:v>6</x:v>
      </x:c>
      <x:c r="G3" s="183" t="n">
        <x:v>0.916015625</x:v>
      </x:c>
      <x:c r="H3" s="181" t="str">
        <x:v>siren</x:v>
      </x:c>
      <x:c r="I3" s="183" t="n">
        <x:v>0.0481770820915699</x:v>
      </x:c>
      <x:c r="J3" s="181" t="str">
        <x:v>glass_breaking</x:v>
      </x:c>
      <x:c r="K3" s="183" t="n">
        <x:v>0.01692708395421505</x:v>
      </x:c>
    </x:row>
    <x:row r="4">
      <x:c r="A4" s="180" t="n">
        <x:v>2</x:v>
      </x:c>
      <x:c r="B4" s="181" t="str">
        <x:v>5-171653-A-41.wav</x:v>
      </x:c>
      <x:c r="C4" s="181" t="str">
        <x:v>chainsaw</x:v>
      </x:c>
      <x:c r="D4" s="181" t="str">
        <x:v>chainsaw</x:v>
      </x:c>
      <x:c r="E4" s="182" t="n">
        <x:v>1</x:v>
      </x:c>
      <x:c r="F4" s="181" t="n">
        <x:v>5</x:v>
      </x:c>
      <x:c r="G4" s="183" t="n">
        <x:v>0.753125011920929</x:v>
      </x:c>
      <x:c r="H4" s="181" t="str">
        <x:v>clapping</x:v>
      </x:c>
      <x:c r="I4" s="183" t="n">
        <x:v>0.08671875298023224</x:v>
      </x:c>
      <x:c r="J4" s="181" t="str">
        <x:v>glass_breaking</x:v>
      </x:c>
      <x:c r="K4" s="183" t="n">
        <x:v>0.04765624925494194</x:v>
      </x:c>
    </x:row>
    <x:row r="5">
      <x:c r="A5" s="180" t="n">
        <x:v>3</x:v>
      </x:c>
      <x:c r="B5" s="181" t="str">
        <x:v>5-185579-A-41.wav</x:v>
      </x:c>
      <x:c r="C5" s="181" t="str">
        <x:v>chainsaw</x:v>
      </x:c>
      <x:c r="D5" s="181" t="str">
        <x:v>chainsaw</x:v>
      </x:c>
      <x:c r="E5" s="182" t="n">
        <x:v>1</x:v>
      </x:c>
      <x:c r="F5" s="181" t="n">
        <x:v>6</x:v>
      </x:c>
      <x:c r="G5" s="183" t="n">
        <x:v>0.9036458134651184</x:v>
      </x:c>
      <x:c r="H5" s="181" t="str">
        <x:v>siren</x:v>
      </x:c>
      <x:c r="I5" s="183" t="n">
        <x:v>0.0481770820915699</x:v>
      </x:c>
      <x:c r="J5" s="181" t="str">
        <x:v>glass_breaking</x:v>
      </x:c>
      <x:c r="K5" s="183" t="n">
        <x:v>0.014322916977107525</x:v>
      </x:c>
    </x:row>
    <x:row r="6">
      <x:c r="A6" s="180" t="n">
        <x:v>4</x:v>
      </x:c>
      <x:c r="B6" s="181" t="str">
        <x:v>5-185579-B-41.wav</x:v>
      </x:c>
      <x:c r="C6" s="181" t="str">
        <x:v>chainsaw</x:v>
      </x:c>
      <x:c r="D6" s="181" t="str">
        <x:v>chainsaw</x:v>
      </x:c>
      <x:c r="E6" s="182" t="n">
        <x:v>1</x:v>
      </x:c>
      <x:c r="F6" s="181" t="n">
        <x:v>6</x:v>
      </x:c>
      <x:c r="G6" s="183" t="n">
        <x:v>0.9342448115348816</x:v>
      </x:c>
      <x:c r="H6" s="181" t="str">
        <x:v>siren</x:v>
      </x:c>
      <x:c r="I6" s="183" t="n">
        <x:v>0.0618489570915699</x:v>
      </x:c>
      <x:c r="J6" s="181" t="str">
        <x:v>glass_breaking</x:v>
      </x:c>
      <x:c r="K6" s="183" t="n">
        <x:v>0.0006510416860692203</x:v>
      </x:c>
    </x:row>
    <x:row r="7">
      <x:c r="A7" s="180" t="n">
        <x:v>5</x:v>
      </x:c>
      <x:c r="B7" s="181" t="str">
        <x:v>5-216370-A-41.wav</x:v>
      </x:c>
      <x:c r="C7" s="181" t="str">
        <x:v>chainsaw</x:v>
      </x:c>
      <x:c r="D7" s="181" t="str">
        <x:v>chainsaw</x:v>
      </x:c>
      <x:c r="E7" s="182" t="n">
        <x:v>1</x:v>
      </x:c>
      <x:c r="F7" s="181" t="n">
        <x:v>6</x:v>
      </x:c>
      <x:c r="G7" s="183" t="n">
        <x:v>0.8860676884651184</x:v>
      </x:c>
      <x:c r="H7" s="181" t="str">
        <x:v>crackling_fire</x:v>
      </x:c>
      <x:c r="I7" s="183" t="n">
        <x:v>0.0455729179084301</x:v>
      </x:c>
      <x:c r="J7" s="181" t="str">
        <x:v>clapping</x:v>
      </x:c>
      <x:c r="K7" s="183" t="n">
        <x:v>0.0345052070915699</x:v>
      </x:c>
    </x:row>
    <x:row r="8">
      <x:c r="A8" s="180" t="n">
        <x:v>6</x:v>
      </x:c>
      <x:c r="B8" s="181" t="str">
        <x:v>5-216370-B-41.wav</x:v>
      </x:c>
      <x:c r="C8" s="181" t="str">
        <x:v>chainsaw</x:v>
      </x:c>
      <x:c r="D8" s="181" t="str">
        <x:v>chainsaw</x:v>
      </x:c>
      <x:c r="E8" s="182" t="n">
        <x:v>1</x:v>
      </x:c>
      <x:c r="F8" s="181" t="n">
        <x:v>6</x:v>
      </x:c>
      <x:c r="G8" s="183" t="n">
        <x:v>0.9765625</x:v>
      </x:c>
      <x:c r="H8" s="181" t="str">
        <x:v>clapping</x:v>
      </x:c>
      <x:c r="I8" s="183" t="n">
        <x:v>0.0071614584885537624</x:v>
      </x:c>
      <x:c r="J8" s="181" t="str">
        <x:v>siren</x:v>
      </x:c>
      <x:c r="K8" s="183" t="n">
        <x:v>0.0065104165114462376</x:v>
      </x:c>
    </x:row>
    <x:row r="9">
      <x:c r="A9" s="180" t="n">
        <x:v>7</x:v>
      </x:c>
      <x:c r="B9" s="181" t="str">
        <x:v>5-222524-A-41.wav</x:v>
      </x:c>
      <x:c r="C9" s="181" t="str">
        <x:v>chainsaw</x:v>
      </x:c>
      <x:c r="D9" s="181" t="str">
        <x:v>chainsaw</x:v>
      </x:c>
      <x:c r="E9" s="182" t="n">
        <x:v>1</x:v>
      </x:c>
      <x:c r="F9" s="181" t="n">
        <x:v>6</x:v>
      </x:c>
      <x:c r="G9" s="183" t="n">
        <x:v>0.953125</x:v>
      </x:c>
      <x:c r="H9" s="181" t="str">
        <x:v>siren</x:v>
      </x:c>
      <x:c r="I9" s="183" t="n">
        <x:v>0.02994791604578495</x:v>
      </x:c>
      <x:c r="J9" s="181" t="str">
        <x:v>clapping</x:v>
      </x:c>
      <x:c r="K9" s="183" t="n">
        <x:v>0.0065104165114462376</x:v>
      </x:c>
    </x:row>
    <x:row r="10">
      <x:c r="A10" s="180" t="n">
        <x:v>8</x:v>
      </x:c>
      <x:c r="B10" s="181" t="str">
        <x:v>5-209989-A-22.wav</x:v>
      </x:c>
      <x:c r="C10" s="181" t="str">
        <x:v>clapping</x:v>
      </x:c>
      <x:c r="D10" s="181" t="str">
        <x:v>clapping</x:v>
      </x:c>
      <x:c r="E10" s="182" t="n">
        <x:v>1</x:v>
      </x:c>
      <x:c r="F10" s="181" t="n">
        <x:v>6</x:v>
      </x:c>
      <x:c r="G10" s="183" t="n">
        <x:v>0.376953125</x:v>
      </x:c>
      <x:c r="H10" s="181" t="str">
        <x:v>crackling_fire</x:v>
      </x:c>
      <x:c r="I10" s="183" t="n">
        <x:v>0.3515625</x:v>
      </x:c>
      <x:c r="J10" s="181" t="str">
        <x:v>glass_breaking</x:v>
      </x:c>
      <x:c r="K10" s="183" t="n">
        <x:v>0.1009114608168602</x:v>
      </x:c>
    </x:row>
    <x:row r="11">
      <x:c r="A11" s="180" t="n">
        <x:v>9</x:v>
      </x:c>
      <x:c r="B11" s="181" t="str">
        <x:v>5-218494-A-22.wav</x:v>
      </x:c>
      <x:c r="C11" s="181" t="str">
        <x:v>clapping</x:v>
      </x:c>
      <x:c r="D11" s="181" t="str">
        <x:v>clapping</x:v>
      </x:c>
      <x:c r="E11" s="182" t="n">
        <x:v>1</x:v>
      </x:c>
      <x:c r="F11" s="181" t="n">
        <x:v>2</x:v>
      </x:c>
      <x:c r="G11" s="183" t="n">
        <x:v>0.83984375</x:v>
      </x:c>
      <x:c r="H11" s="181" t="str">
        <x:v>footsteps</x:v>
      </x:c>
      <x:c r="I11" s="183" t="n">
        <x:v>0.099609375</x:v>
      </x:c>
      <x:c r="J11" s="181" t="str">
        <x:v>glass_breaking</x:v>
      </x:c>
      <x:c r="K11" s="183" t="n">
        <x:v>0.02734375</x:v>
      </x:c>
    </x:row>
    <x:row r="12">
      <x:c r="A12" s="180" t="n">
        <x:v>10</x:v>
      </x:c>
      <x:c r="B12" s="181" t="str">
        <x:v>5-221567-A-22.wav</x:v>
      </x:c>
      <x:c r="C12" s="181" t="str">
        <x:v>clapping</x:v>
      </x:c>
      <x:c r="D12" s="181" t="str">
        <x:v>chainsaw</x:v>
      </x:c>
      <x:c r="E12" s="182" t="n">
        <x:v>0</x:v>
      </x:c>
      <x:c r="F12" s="181" t="n">
        <x:v>6</x:v>
      </x:c>
      <x:c r="G12" s="183" t="n">
        <x:v>0.361328125</x:v>
      </x:c>
      <x:c r="H12" s="181" t="str">
        <x:v>clapping</x:v>
      </x:c>
      <x:c r="I12" s="183" t="n">
        <x:v>0.283203125</x:v>
      </x:c>
      <x:c r="J12" s="181" t="str">
        <x:v>glass_breaking</x:v>
      </x:c>
      <x:c r="K12" s="183" t="n">
        <x:v>0.1458333283662796</x:v>
      </x:c>
    </x:row>
    <x:row r="13">
      <x:c r="A13" s="180" t="n">
        <x:v>11</x:v>
      </x:c>
      <x:c r="B13" s="181" t="str">
        <x:v>5-221568-A-22.wav</x:v>
      </x:c>
      <x:c r="C13" s="181" t="str">
        <x:v>clapping</x:v>
      </x:c>
      <x:c r="D13" s="181" t="str">
        <x:v>clapping</x:v>
      </x:c>
      <x:c r="E13" s="182" t="n">
        <x:v>1</x:v>
      </x:c>
      <x:c r="F13" s="181" t="n">
        <x:v>6</x:v>
      </x:c>
      <x:c r="G13" s="183" t="n">
        <x:v>0.4440104067325592</x:v>
      </x:c>
      <x:c r="H13" s="181" t="str">
        <x:v>chainsaw</x:v>
      </x:c>
      <x:c r="I13" s="183" t="n">
        <x:v>0.1829427033662796</x:v>
      </x:c>
      <x:c r="J13" s="181" t="str">
        <x:v>glass_breaking</x:v>
      </x:c>
      <x:c r="K13" s="183" t="n">
        <x:v>0.099609375</x:v>
      </x:c>
    </x:row>
    <x:row r="14">
      <x:c r="A14" s="180" t="n">
        <x:v>12</x:v>
      </x:c>
      <x:c r="B14" s="181" t="str">
        <x:v>5-221950-A-22.wav</x:v>
      </x:c>
      <x:c r="C14" s="181" t="str">
        <x:v>clapping</x:v>
      </x:c>
      <x:c r="D14" s="181" t="str">
        <x:v>crackling_fire</x:v>
      </x:c>
      <x:c r="E14" s="182" t="n">
        <x:v>0</x:v>
      </x:c>
      <x:c r="F14" s="181" t="n">
        <x:v>6</x:v>
      </x:c>
      <x:c r="G14" s="183" t="n">
        <x:v>0.4401041567325592</x:v>
      </x:c>
      <x:c r="H14" s="181" t="str">
        <x:v>door_wood_knock</x:v>
      </x:c>
      <x:c r="I14" s="183" t="n">
        <x:v>0.16015625</x:v>
      </x:c>
      <x:c r="J14" s="181" t="str">
        <x:v>footsteps</x:v>
      </x:c>
      <x:c r="K14" s="183" t="n">
        <x:v>0.1529947966337204</x:v>
      </x:c>
    </x:row>
    <x:row r="15">
      <x:c r="A15" s="180" t="n">
        <x:v>13</x:v>
      </x:c>
      <x:c r="B15" s="181" t="str">
        <x:v>5-249937-A-22.wav</x:v>
      </x:c>
      <x:c r="C15" s="181" t="str">
        <x:v>clapping</x:v>
      </x:c>
      <x:c r="D15" s="181" t="str">
        <x:v>clapping</x:v>
      </x:c>
      <x:c r="E15" s="182" t="n">
        <x:v>1</x:v>
      </x:c>
      <x:c r="F15" s="181" t="n">
        <x:v>6</x:v>
      </x:c>
      <x:c r="G15" s="183" t="n">
        <x:v>0.7161458134651184</x:v>
      </x:c>
      <x:c r="H15" s="181" t="str">
        <x:v>footsteps</x:v>
      </x:c>
      <x:c r="I15" s="183" t="n">
        <x:v>0.1731770783662796</x:v>
      </x:c>
      <x:c r="J15" s="181" t="str">
        <x:v>crackling_fire</x:v>
      </x:c>
      <x:c r="K15" s="183" t="n">
        <x:v>0.0865885391831398</x:v>
      </x:c>
    </x:row>
    <x:row r="16">
      <x:c r="A16" s="180" t="n">
        <x:v>14</x:v>
      </x:c>
      <x:c r="B16" s="181" t="str">
        <x:v>5-254160-A-22.wav</x:v>
      </x:c>
      <x:c r="C16" s="181" t="str">
        <x:v>clapping</x:v>
      </x:c>
      <x:c r="D16" s="181" t="str">
        <x:v>clapping</x:v>
      </x:c>
      <x:c r="E16" s="182" t="n">
        <x:v>1</x:v>
      </x:c>
      <x:c r="F16" s="181" t="n">
        <x:v>6</x:v>
      </x:c>
      <x:c r="G16" s="183" t="n">
        <x:v>0.3287760317325592</x:v>
      </x:c>
      <x:c r="H16" s="181" t="str">
        <x:v>crackling_fire</x:v>
      </x:c>
      <x:c r="I16" s="183" t="n">
        <x:v>0.255859375</x:v>
      </x:c>
      <x:c r="J16" s="181" t="str">
        <x:v>chainsaw</x:v>
      </x:c>
      <x:c r="K16" s="183" t="n">
        <x:v>0.1940104216337204</x:v>
      </x:c>
    </x:row>
    <x:row r="17">
      <x:c r="A17" s="180" t="n">
        <x:v>15</x:v>
      </x:c>
      <x:c r="B17" s="181" t="str">
        <x:v>5-262957-A-22.wav</x:v>
      </x:c>
      <x:c r="C17" s="181" t="str">
        <x:v>clapping</x:v>
      </x:c>
      <x:c r="D17" s="181" t="str">
        <x:v>clapping</x:v>
      </x:c>
      <x:c r="E17" s="182" t="n">
        <x:v>1</x:v>
      </x:c>
      <x:c r="F17" s="181" t="n">
        <x:v>6</x:v>
      </x:c>
      <x:c r="G17" s="183" t="n">
        <x:v>0.623046875</x:v>
      </x:c>
      <x:c r="H17" s="181" t="str">
        <x:v>chainsaw</x:v>
      </x:c>
      <x:c r="I17" s="183" t="n">
        <x:v>0.2942708432674408</x:v>
      </x:c>
      <x:c r="J17" s="181" t="str">
        <x:v>footsteps</x:v>
      </x:c>
      <x:c r="K17" s="183" t="n">
        <x:v>0.029296875</x:v>
      </x:c>
    </x:row>
    <x:row r="18">
      <x:c r="A18" s="180" t="n">
        <x:v>16</x:v>
      </x:c>
      <x:c r="B18" s="181" t="str">
        <x:v>5-178997-A-24.wav</x:v>
      </x:c>
      <x:c r="C18" s="181" t="str">
        <x:v>coughing</x:v>
      </x:c>
      <x:c r="D18" s="181" t="str">
        <x:v>coughing</x:v>
      </x:c>
      <x:c r="E18" s="182" t="n">
        <x:v>1</x:v>
      </x:c>
      <x:c r="F18" s="181" t="n">
        <x:v>6</x:v>
      </x:c>
      <x:c r="G18" s="183" t="n">
        <x:v>0.33984375</x:v>
      </x:c>
      <x:c r="H18" s="181" t="str">
        <x:v>crying_baby</x:v>
      </x:c>
      <x:c r="I18" s="183" t="n">
        <x:v>0.2044270783662796</x:v>
      </x:c>
      <x:c r="J18" s="181" t="str">
        <x:v>crackling_fire</x:v>
      </x:c>
      <x:c r="K18" s="183" t="n">
        <x:v>0.142578125</x:v>
      </x:c>
    </x:row>
    <x:row r="19">
      <x:c r="A19" s="180" t="n">
        <x:v>17</x:v>
      </x:c>
      <x:c r="B19" s="181" t="str">
        <x:v>5-184871-A-24.wav</x:v>
      </x:c>
      <x:c r="C19" s="181" t="str">
        <x:v>coughing</x:v>
      </x:c>
      <x:c r="D19" s="181" t="str">
        <x:v>dog</x:v>
      </x:c>
      <x:c r="E19" s="182" t="n">
        <x:v>0</x:v>
      </x:c>
      <x:c r="F19" s="181" t="n">
        <x:v>4</x:v>
      </x:c>
      <x:c r="G19" s="183" t="n">
        <x:v>0.5419921875</x:v>
      </x:c>
      <x:c r="H19" s="181" t="str">
        <x:v>coughing</x:v>
      </x:c>
      <x:c r="I19" s="183" t="n">
        <x:v>0.2431640625</x:v>
      </x:c>
      <x:c r="J19" s="181" t="str">
        <x:v>crying_baby</x:v>
      </x:c>
      <x:c r="K19" s="183" t="n">
        <x:v>0.1259765625</x:v>
      </x:c>
    </x:row>
    <x:row r="20">
      <x:c r="A20" s="180" t="n">
        <x:v>18</x:v>
      </x:c>
      <x:c r="B20" s="181" t="str">
        <x:v>5-204604-A-24.wav</x:v>
      </x:c>
      <x:c r="C20" s="181" t="str">
        <x:v>coughing</x:v>
      </x:c>
      <x:c r="D20" s="181" t="str">
        <x:v>coughing</x:v>
      </x:c>
      <x:c r="E20" s="182" t="n">
        <x:v>1</x:v>
      </x:c>
      <x:c r="F20" s="181" t="n">
        <x:v>1</x:v>
      </x:c>
      <x:c r="G20" s="183" t="n">
        <x:v>0.59375</x:v>
      </x:c>
      <x:c r="H20" s="181" t="str">
        <x:v>dog</x:v>
      </x:c>
      <x:c r="I20" s="183" t="n">
        <x:v>0.3359375</x:v>
      </x:c>
      <x:c r="J20" s="181" t="str">
        <x:v>clapping</x:v>
      </x:c>
      <x:c r="K20" s="183" t="n">
        <x:v>0.02734375</x:v>
      </x:c>
    </x:row>
    <x:row r="21">
      <x:c r="A21" s="180" t="n">
        <x:v>19</x:v>
      </x:c>
      <x:c r="B21" s="181" t="str">
        <x:v>5-207681-A-24.wav</x:v>
      </x:c>
      <x:c r="C21" s="181" t="str">
        <x:v>coughing</x:v>
      </x:c>
      <x:c r="D21" s="181" t="str">
        <x:v>coughing</x:v>
      </x:c>
      <x:c r="E21" s="182" t="n">
        <x:v>1</x:v>
      </x:c>
      <x:c r="F21" s="181" t="n">
        <x:v>5</x:v>
      </x:c>
      <x:c r="G21" s="183" t="n">
        <x:v>0.43828123807907104</x:v>
      </x:c>
      <x:c r="H21" s="181" t="str">
        <x:v>dog</x:v>
      </x:c>
      <x:c r="I21" s="183" t="n">
        <x:v>0.35468751192092896</x:v>
      </x:c>
      <x:c r="J21" s="181" t="str">
        <x:v>crying_baby</x:v>
      </x:c>
      <x:c r="K21" s="183" t="n">
        <x:v>0.07578124850988388</x:v>
      </x:c>
    </x:row>
    <x:row r="22">
      <x:c r="A22" s="180" t="n">
        <x:v>20</x:v>
      </x:c>
      <x:c r="B22" s="181" t="str">
        <x:v>5-208761-A-24.wav</x:v>
      </x:c>
      <x:c r="C22" s="181" t="str">
        <x:v>coughing</x:v>
      </x:c>
      <x:c r="D22" s="181" t="str">
        <x:v>dog</x:v>
      </x:c>
      <x:c r="E22" s="182" t="n">
        <x:v>0</x:v>
      </x:c>
      <x:c r="F22" s="181" t="n">
        <x:v>6</x:v>
      </x:c>
      <x:c r="G22" s="183" t="n">
        <x:v>0.4231770932674408</x:v>
      </x:c>
      <x:c r="H22" s="181" t="str">
        <x:v>coughing</x:v>
      </x:c>
      <x:c r="I22" s="183" t="n">
        <x:v>0.3046875</x:v>
      </x:c>
      <x:c r="J22" s="181" t="str">
        <x:v>crying_baby</x:v>
      </x:c>
      <x:c r="K22" s="183" t="n">
        <x:v>0.1796875</x:v>
      </x:c>
    </x:row>
    <x:row r="23">
      <x:c r="A23" s="180" t="n">
        <x:v>21</x:v>
      </x:c>
      <x:c r="B23" s="181" t="str">
        <x:v>5-209719-A-24.wav</x:v>
      </x:c>
      <x:c r="C23" s="181" t="str">
        <x:v>coughing</x:v>
      </x:c>
      <x:c r="D23" s="181" t="str">
        <x:v>coughing</x:v>
      </x:c>
      <x:c r="E23" s="182" t="n">
        <x:v>1</x:v>
      </x:c>
      <x:c r="F23" s="181" t="n">
        <x:v>1</x:v>
      </x:c>
      <x:c r="G23" s="183" t="n">
        <x:v>0.5234375</x:v>
      </x:c>
      <x:c r="H23" s="181" t="str">
        <x:v>dog</x:v>
      </x:c>
      <x:c r="I23" s="183" t="n">
        <x:v>0.24609375</x:v>
      </x:c>
      <x:c r="J23" s="181" t="str">
        <x:v>glass_breaking</x:v>
      </x:c>
      <x:c r="K23" s="183" t="n">
        <x:v>0.09375</x:v>
      </x:c>
    </x:row>
    <x:row r="24">
      <x:c r="A24" s="180" t="n">
        <x:v>22</x:v>
      </x:c>
      <x:c r="B24" s="181" t="str">
        <x:v>5-211197-A-24.wav</x:v>
      </x:c>
      <x:c r="C24" s="181" t="str">
        <x:v>coughing</x:v>
      </x:c>
      <x:c r="D24" s="181" t="str">
        <x:v>coughing</x:v>
      </x:c>
      <x:c r="E24" s="182" t="n">
        <x:v>1</x:v>
      </x:c>
      <x:c r="F24" s="181" t="n">
        <x:v>6</x:v>
      </x:c>
      <x:c r="G24" s="183" t="n">
        <x:v>0.38671875</x:v>
      </x:c>
      <x:c r="H24" s="181" t="str">
        <x:v>dog</x:v>
      </x:c>
      <x:c r="I24" s="183" t="n">
        <x:v>0.244140625</x:v>
      </x:c>
      <x:c r="J24" s="181" t="str">
        <x:v>crying_baby</x:v>
      </x:c>
      <x:c r="K24" s="183" t="n">
        <x:v>0.1438802033662796</x:v>
      </x:c>
    </x:row>
    <x:row r="25">
      <x:c r="A25" s="180" t="n">
        <x:v>23</x:v>
      </x:c>
      <x:c r="B25" s="181" t="str">
        <x:v>5-251489-A-24.wav</x:v>
      </x:c>
      <x:c r="C25" s="181" t="str">
        <x:v>coughing</x:v>
      </x:c>
      <x:c r="D25" s="181" t="str">
        <x:v>coughing</x:v>
      </x:c>
      <x:c r="E25" s="182" t="n">
        <x:v>1</x:v>
      </x:c>
      <x:c r="F25" s="181" t="n">
        <x:v>1</x:v>
      </x:c>
      <x:c r="G25" s="183" t="n">
        <x:v>0.87109375</x:v>
      </x:c>
      <x:c r="H25" s="181" t="str">
        <x:v>dog</x:v>
      </x:c>
      <x:c r="I25" s="183" t="n">
        <x:v>0.07421875</x:v>
      </x:c>
      <x:c r="J25" s="181" t="str">
        <x:v>glass_breaking</x:v>
      </x:c>
      <x:c r="K25" s="183" t="n">
        <x:v>0.01953125</x:v>
      </x:c>
    </x:row>
    <x:row r="26">
      <x:c r="A26" s="180" t="n">
        <x:v>24</x:v>
      </x:c>
      <x:c r="B26" s="181" t="str">
        <x:v>5-186924-A-12.wav</x:v>
      </x:c>
      <x:c r="C26" s="181" t="str">
        <x:v>crackling_fire</x:v>
      </x:c>
      <x:c r="D26" s="181" t="str">
        <x:v>clapping</x:v>
      </x:c>
      <x:c r="E26" s="182" t="n">
        <x:v>0</x:v>
      </x:c>
      <x:c r="F26" s="181" t="n">
        <x:v>6</x:v>
      </x:c>
      <x:c r="G26" s="183" t="n">
        <x:v>0.6217448115348816</x:v>
      </x:c>
      <x:c r="H26" s="181" t="str">
        <x:v>crackling_fire</x:v>
      </x:c>
      <x:c r="I26" s="183" t="n">
        <x:v>0.189453125</x:v>
      </x:c>
      <x:c r="J26" s="181" t="str">
        <x:v>chainsaw</x:v>
      </x:c>
      <x:c r="K26" s="183" t="n">
        <x:v>0.0930989608168602</x:v>
      </x:c>
    </x:row>
    <x:row r="27">
      <x:c r="A27" s="180" t="n">
        <x:v>25</x:v>
      </x:c>
      <x:c r="B27" s="181" t="str">
        <x:v>5-189212-A-12.wav</x:v>
      </x:c>
      <x:c r="C27" s="181" t="str">
        <x:v>crackling_fire</x:v>
      </x:c>
      <x:c r="D27" s="181" t="str">
        <x:v>crackling_fire</x:v>
      </x:c>
      <x:c r="E27" s="182" t="n">
        <x:v>1</x:v>
      </x:c>
      <x:c r="F27" s="181" t="n">
        <x:v>6</x:v>
      </x:c>
      <x:c r="G27" s="183" t="n">
        <x:v>0.873046875</x:v>
      </x:c>
      <x:c r="H27" s="181" t="str">
        <x:v>footsteps</x:v>
      </x:c>
      <x:c r="I27" s="183" t="n">
        <x:v>0.0729166641831398</x:v>
      </x:c>
      <x:c r="J27" s="181" t="str">
        <x:v>clapping</x:v>
      </x:c>
      <x:c r="K27" s="183" t="n">
        <x:v>0.02669270895421505</x:v>
      </x:c>
    </x:row>
    <x:row r="28">
      <x:c r="A28" s="180" t="n">
        <x:v>26</x:v>
      </x:c>
      <x:c r="B28" s="181" t="str">
        <x:v>5-189237-A-12.wav</x:v>
      </x:c>
      <x:c r="C28" s="181" t="str">
        <x:v>crackling_fire</x:v>
      </x:c>
      <x:c r="D28" s="181" t="str">
        <x:v>crackling_fire</x:v>
      </x:c>
      <x:c r="E28" s="182" t="n">
        <x:v>1</x:v>
      </x:c>
      <x:c r="F28" s="181" t="n">
        <x:v>6</x:v>
      </x:c>
      <x:c r="G28" s="183" t="n">
        <x:v>0.642578125</x:v>
      </x:c>
      <x:c r="H28" s="181" t="str">
        <x:v>door_wood_knock</x:v>
      </x:c>
      <x:c r="I28" s="183" t="n">
        <x:v>0.1822916716337204</x:v>
      </x:c>
      <x:c r="J28" s="181" t="str">
        <x:v>glass_breaking</x:v>
      </x:c>
      <x:c r="K28" s="183" t="n">
        <x:v>0.0559895820915699</x:v>
      </x:c>
    </x:row>
    <x:row r="29">
      <x:c r="A29" s="180" t="n">
        <x:v>27</x:v>
      </x:c>
      <x:c r="B29" s="181" t="str">
        <x:v>5-193473-A-12.wav</x:v>
      </x:c>
      <x:c r="C29" s="181" t="str">
        <x:v>crackling_fire</x:v>
      </x:c>
      <x:c r="D29" s="181" t="str">
        <x:v>crackling_fire</x:v>
      </x:c>
      <x:c r="E29" s="182" t="n">
        <x:v>1</x:v>
      </x:c>
      <x:c r="F29" s="181" t="n">
        <x:v>6</x:v>
      </x:c>
      <x:c r="G29" s="183" t="n">
        <x:v>0.6471354365348816</x:v>
      </x:c>
      <x:c r="H29" s="181" t="str">
        <x:v>footsteps</x:v>
      </x:c>
      <x:c r="I29" s="183" t="n">
        <x:v>0.2610677182674408</x:v>
      </x:c>
      <x:c r="J29" s="181" t="str">
        <x:v>clapping</x:v>
      </x:c>
      <x:c r="K29" s="183" t="n">
        <x:v>0.05078125</x:v>
      </x:c>
    </x:row>
    <x:row r="30">
      <x:c r="A30" s="180" t="n">
        <x:v>28</x:v>
      </x:c>
      <x:c r="B30" s="181" t="str">
        <x:v>5-193473-B-12.wav</x:v>
      </x:c>
      <x:c r="C30" s="181" t="str">
        <x:v>crackling_fire</x:v>
      </x:c>
      <x:c r="D30" s="181" t="str">
        <x:v>crackling_fire</x:v>
      </x:c>
      <x:c r="E30" s="182" t="n">
        <x:v>1</x:v>
      </x:c>
      <x:c r="F30" s="181" t="n">
        <x:v>6</x:v>
      </x:c>
      <x:c r="G30" s="183" t="n">
        <x:v>0.7063801884651184</x:v>
      </x:c>
      <x:c r="H30" s="181" t="str">
        <x:v>footsteps</x:v>
      </x:c>
      <x:c r="I30" s="183" t="n">
        <x:v>0.2005208283662796</x:v>
      </x:c>
      <x:c r="J30" s="181" t="str">
        <x:v>glass_breaking</x:v>
      </x:c>
      <x:c r="K30" s="183" t="n">
        <x:v>0.0475260429084301</x:v>
      </x:c>
    </x:row>
    <x:row r="31">
      <x:c r="A31" s="180" t="n">
        <x:v>29</x:v>
      </x:c>
      <x:c r="B31" s="181" t="str">
        <x:v>5-213802-A-12.wav</x:v>
      </x:c>
      <x:c r="C31" s="181" t="str">
        <x:v>crackling_fire</x:v>
      </x:c>
      <x:c r="D31" s="181" t="str">
        <x:v>chainsaw</x:v>
      </x:c>
      <x:c r="E31" s="182" t="n">
        <x:v>0</x:v>
      </x:c>
      <x:c r="F31" s="181" t="n">
        <x:v>6</x:v>
      </x:c>
      <x:c r="G31" s="183" t="n">
        <x:v>0.6321614384651184</x:v>
      </x:c>
      <x:c r="H31" s="181" t="str">
        <x:v>crackling_fire</x:v>
      </x:c>
      <x:c r="I31" s="183" t="n">
        <x:v>0.2330729216337204</x:v>
      </x:c>
      <x:c r="J31" s="181" t="str">
        <x:v>siren</x:v>
      </x:c>
      <x:c r="K31" s="183" t="n">
        <x:v>0.0891927108168602</x:v>
      </x:c>
    </x:row>
    <x:row r="32">
      <x:c r="A32" s="180" t="n">
        <x:v>30</x:v>
      </x:c>
      <x:c r="B32" s="181" t="str">
        <x:v>5-215658-A-12.wav</x:v>
      </x:c>
      <x:c r="C32" s="181" t="str">
        <x:v>crackling_fire</x:v>
      </x:c>
      <x:c r="D32" s="181" t="str">
        <x:v>crackling_fire</x:v>
      </x:c>
      <x:c r="E32" s="182" t="n">
        <x:v>1</x:v>
      </x:c>
      <x:c r="F32" s="181" t="n">
        <x:v>6</x:v>
      </x:c>
      <x:c r="G32" s="183" t="n">
        <x:v>0.689453125</x:v>
      </x:c>
      <x:c r="H32" s="181" t="str">
        <x:v>clapping</x:v>
      </x:c>
      <x:c r="I32" s="183" t="n">
        <x:v>0.1165364608168602</x:v>
      </x:c>
      <x:c r="J32" s="181" t="str">
        <x:v>door_wood_knock</x:v>
      </x:c>
      <x:c r="K32" s="183" t="n">
        <x:v>0.0748697891831398</x:v>
      </x:c>
    </x:row>
    <x:row r="33">
      <x:c r="A33" s="180" t="n">
        <x:v>31</x:v>
      </x:c>
      <x:c r="B33" s="181" t="str">
        <x:v>5-215658-B-12.wav</x:v>
      </x:c>
      <x:c r="C33" s="181" t="str">
        <x:v>crackling_fire</x:v>
      </x:c>
      <x:c r="D33" s="181" t="str">
        <x:v>crackling_fire</x:v>
      </x:c>
      <x:c r="E33" s="182" t="n">
        <x:v>1</x:v>
      </x:c>
      <x:c r="F33" s="181" t="n">
        <x:v>6</x:v>
      </x:c>
      <x:c r="G33" s="183" t="n">
        <x:v>0.630859375</x:v>
      </x:c>
      <x:c r="H33" s="181" t="str">
        <x:v>clapping</x:v>
      </x:c>
      <x:c r="I33" s="183" t="n">
        <x:v>0.2552083432674408</x:v>
      </x:c>
      <x:c r="J33" s="181" t="str">
        <x:v>footsteps</x:v>
      </x:c>
      <x:c r="K33" s="183" t="n">
        <x:v>0.052734375</x:v>
      </x:c>
    </x:row>
    <x:row r="34">
      <x:c r="A34" s="180" t="n">
        <x:v>32</x:v>
      </x:c>
      <x:c r="B34" s="181" t="str">
        <x:v>5-151085-A-20.wav</x:v>
      </x:c>
      <x:c r="C34" s="181" t="str">
        <x:v>crying_baby</x:v>
      </x:c>
      <x:c r="D34" s="181" t="str">
        <x:v>crying_baby</x:v>
      </x:c>
      <x:c r="E34" s="182" t="n">
        <x:v>1</x:v>
      </x:c>
      <x:c r="F34" s="181" t="n">
        <x:v>6</x:v>
      </x:c>
      <x:c r="G34" s="183" t="n">
        <x:v>0.8951823115348816</x:v>
      </x:c>
      <x:c r="H34" s="181" t="str">
        <x:v>coughing</x:v>
      </x:c>
      <x:c r="I34" s="183" t="n">
        <x:v>0.0501302070915699</x:v>
      </x:c>
      <x:c r="J34" s="181" t="str">
        <x:v>dog</x:v>
      </x:c>
      <x:c r="K34" s="183" t="n">
        <x:v>0.0319010429084301</x:v>
      </x:c>
    </x:row>
    <x:row r="35">
      <x:c r="A35" s="180" t="n">
        <x:v>33</x:v>
      </x:c>
      <x:c r="B35" s="181" t="str">
        <x:v>5-198411-A-20.wav</x:v>
      </x:c>
      <x:c r="C35" s="181" t="str">
        <x:v>crying_baby</x:v>
      </x:c>
      <x:c r="D35" s="181" t="str">
        <x:v>crying_baby</x:v>
      </x:c>
      <x:c r="E35" s="182" t="n">
        <x:v>1</x:v>
      </x:c>
      <x:c r="F35" s="181" t="n">
        <x:v>6</x:v>
      </x:c>
      <x:c r="G35" s="183" t="n">
        <x:v>0.623046875</x:v>
      </x:c>
      <x:c r="H35" s="181" t="str">
        <x:v>dog</x:v>
      </x:c>
      <x:c r="I35" s="183" t="n">
        <x:v>0.1256510466337204</x:v>
      </x:c>
      <x:c r="J35" s="181" t="str">
        <x:v>chainsaw</x:v>
      </x:c>
      <x:c r="K35" s="183" t="n">
        <x:v>0.1236979141831398</x:v>
      </x:c>
    </x:row>
    <x:row r="36">
      <x:c r="A36" s="180" t="n">
        <x:v>34</x:v>
      </x:c>
      <x:c r="B36" s="181" t="str">
        <x:v>5-198411-B-20.wav</x:v>
      </x:c>
      <x:c r="C36" s="181" t="str">
        <x:v>crying_baby</x:v>
      </x:c>
      <x:c r="D36" s="181" t="str">
        <x:v>crying_baby</x:v>
      </x:c>
      <x:c r="E36" s="182" t="n">
        <x:v>1</x:v>
      </x:c>
      <x:c r="F36" s="181" t="n">
        <x:v>6</x:v>
      </x:c>
      <x:c r="G36" s="183" t="n">
        <x:v>0.6028645634651184</x:v>
      </x:c>
      <x:c r="H36" s="181" t="str">
        <x:v>dog</x:v>
      </x:c>
      <x:c r="I36" s="183" t="n">
        <x:v>0.203125</x:v>
      </x:c>
      <x:c r="J36" s="181" t="str">
        <x:v>siren</x:v>
      </x:c>
      <x:c r="K36" s="183" t="n">
        <x:v>0.1223958358168602</x:v>
      </x:c>
    </x:row>
    <x:row r="37">
      <x:c r="A37" s="180" t="n">
        <x:v>35</x:v>
      </x:c>
      <x:c r="B37" s="181" t="str">
        <x:v>5-198411-C-20.wav</x:v>
      </x:c>
      <x:c r="C37" s="181" t="str">
        <x:v>crying_baby</x:v>
      </x:c>
      <x:c r="D37" s="181" t="str">
        <x:v>crying_baby</x:v>
      </x:c>
      <x:c r="E37" s="182" t="n">
        <x:v>1</x:v>
      </x:c>
      <x:c r="F37" s="181" t="n">
        <x:v>6</x:v>
      </x:c>
      <x:c r="G37" s="183" t="n">
        <x:v>0.490234375</x:v>
      </x:c>
      <x:c r="H37" s="181" t="str">
        <x:v>dog</x:v>
      </x:c>
      <x:c r="I37" s="183" t="n">
        <x:v>0.212890625</x:v>
      </x:c>
      <x:c r="J37" s="181" t="str">
        <x:v>siren</x:v>
      </x:c>
      <x:c r="K37" s="183" t="n">
        <x:v>0.1751302033662796</x:v>
      </x:c>
    </x:row>
    <x:row r="38">
      <x:c r="A38" s="180" t="n">
        <x:v>36</x:v>
      </x:c>
      <x:c r="B38" s="181" t="str">
        <x:v>5-198411-D-20.wav</x:v>
      </x:c>
      <x:c r="C38" s="181" t="str">
        <x:v>crying_baby</x:v>
      </x:c>
      <x:c r="D38" s="181" t="str">
        <x:v>crying_baby</x:v>
      </x:c>
      <x:c r="E38" s="182" t="n">
        <x:v>1</x:v>
      </x:c>
      <x:c r="F38" s="181" t="n">
        <x:v>6</x:v>
      </x:c>
      <x:c r="G38" s="183" t="n">
        <x:v>0.6966145634651184</x:v>
      </x:c>
      <x:c r="H38" s="181" t="str">
        <x:v>siren</x:v>
      </x:c>
      <x:c r="I38" s="183" t="n">
        <x:v>0.171875</x:v>
      </x:c>
      <x:c r="J38" s="181" t="str">
        <x:v>chainsaw</x:v>
      </x:c>
      <x:c r="K38" s="183" t="n">
        <x:v>0.0572916679084301</x:v>
      </x:c>
    </x:row>
    <x:row r="39">
      <x:c r="A39" s="180" t="n">
        <x:v>37</x:v>
      </x:c>
      <x:c r="B39" s="181" t="str">
        <x:v>5-198411-E-20.wav</x:v>
      </x:c>
      <x:c r="C39" s="181" t="str">
        <x:v>crying_baby</x:v>
      </x:c>
      <x:c r="D39" s="181" t="str">
        <x:v>crying_baby</x:v>
      </x:c>
      <x:c r="E39" s="182" t="n">
        <x:v>1</x:v>
      </x:c>
      <x:c r="F39" s="181" t="n">
        <x:v>6</x:v>
      </x:c>
      <x:c r="G39" s="183" t="n">
        <x:v>0.5885416865348816</x:v>
      </x:c>
      <x:c r="H39" s="181" t="str">
        <x:v>siren</x:v>
      </x:c>
      <x:c r="I39" s="183" t="n">
        <x:v>0.2877604067325592</x:v>
      </x:c>
      <x:c r="J39" s="181" t="str">
        <x:v>dog</x:v>
      </x:c>
      <x:c r="K39" s="183" t="n">
        <x:v>0.0989583358168602</x:v>
      </x:c>
    </x:row>
    <x:row r="40">
      <x:c r="A40" s="180" t="n">
        <x:v>38</x:v>
      </x:c>
      <x:c r="B40" s="181" t="str">
        <x:v>5-198411-F-20.wav</x:v>
      </x:c>
      <x:c r="C40" s="181" t="str">
        <x:v>crying_baby</x:v>
      </x:c>
      <x:c r="D40" s="181" t="str">
        <x:v>crying_baby</x:v>
      </x:c>
      <x:c r="E40" s="182" t="n">
        <x:v>1</x:v>
      </x:c>
      <x:c r="F40" s="181" t="n">
        <x:v>6</x:v>
      </x:c>
      <x:c r="G40" s="183" t="n">
        <x:v>0.5735676884651184</x:v>
      </x:c>
      <x:c r="H40" s="181" t="str">
        <x:v>siren</x:v>
      </x:c>
      <x:c r="I40" s="183" t="n">
        <x:v>0.181640625</x:v>
      </x:c>
      <x:c r="J40" s="181" t="str">
        <x:v>dog</x:v>
      </x:c>
      <x:c r="K40" s="183" t="n">
        <x:v>0.150390625</x:v>
      </x:c>
    </x:row>
    <x:row r="41">
      <x:c r="A41" s="180" t="n">
        <x:v>39</x:v>
      </x:c>
      <x:c r="B41" s="181" t="str">
        <x:v>5-198411-G-20.wav</x:v>
      </x:c>
      <x:c r="C41" s="181" t="str">
        <x:v>crying_baby</x:v>
      </x:c>
      <x:c r="D41" s="181" t="str">
        <x:v>crying_baby</x:v>
      </x:c>
      <x:c r="E41" s="182" t="n">
        <x:v>1</x:v>
      </x:c>
      <x:c r="F41" s="181" t="n">
        <x:v>6</x:v>
      </x:c>
      <x:c r="G41" s="183" t="n">
        <x:v>0.5188801884651184</x:v>
      </x:c>
      <x:c r="H41" s="181" t="str">
        <x:v>dog</x:v>
      </x:c>
      <x:c r="I41" s="183" t="n">
        <x:v>0.2858072817325592</x:v>
      </x:c>
      <x:c r="J41" s="181" t="str">
        <x:v>coughing</x:v>
      </x:c>
      <x:c r="K41" s="183" t="n">
        <x:v>0.0865885391831398</x:v>
      </x:c>
    </x:row>
    <x:row r="42">
      <x:c r="A42" s="180" t="n">
        <x:v>40</x:v>
      </x:c>
      <x:c r="B42" s="181" t="str">
        <x:v>5-203128-A-0.wav</x:v>
      </x:c>
      <x:c r="C42" s="181" t="str">
        <x:v>dog</x:v>
      </x:c>
      <x:c r="D42" s="181" t="str">
        <x:v>dog</x:v>
      </x:c>
      <x:c r="E42" s="182" t="n">
        <x:v>1</x:v>
      </x:c>
      <x:c r="F42" s="181" t="n">
        <x:v>6</x:v>
      </x:c>
      <x:c r="G42" s="183" t="n">
        <x:v>0.5826823115348816</x:v>
      </x:c>
      <x:c r="H42" s="181" t="str">
        <x:v>coughing</x:v>
      </x:c>
      <x:c r="I42" s="183" t="n">
        <x:v>0.162109375</x:v>
      </x:c>
      <x:c r="J42" s="181" t="str">
        <x:v>crying_baby</x:v>
      </x:c>
      <x:c r="K42" s="183" t="n">
        <x:v>0.0748697891831398</x:v>
      </x:c>
    </x:row>
    <x:row r="43">
      <x:c r="A43" s="180" t="n">
        <x:v>41</x:v>
      </x:c>
      <x:c r="B43" s="181" t="str">
        <x:v>5-203128-B-0.wav</x:v>
      </x:c>
      <x:c r="C43" s="181" t="str">
        <x:v>dog</x:v>
      </x:c>
      <x:c r="D43" s="181" t="str">
        <x:v>dog</x:v>
      </x:c>
      <x:c r="E43" s="182" t="n">
        <x:v>1</x:v>
      </x:c>
      <x:c r="F43" s="181" t="n">
        <x:v>6</x:v>
      </x:c>
      <x:c r="G43" s="183" t="n">
        <x:v>0.6393229365348816</x:v>
      </x:c>
      <x:c r="H43" s="181" t="str">
        <x:v>coughing</x:v>
      </x:c>
      <x:c r="I43" s="183" t="n">
        <x:v>0.1822916716337204</x:v>
      </x:c>
      <x:c r="J43" s="181" t="str">
        <x:v>crying_baby</x:v>
      </x:c>
      <x:c r="K43" s="183" t="n">
        <x:v>0.1529947966337204</x:v>
      </x:c>
    </x:row>
    <x:row r="44">
      <x:c r="A44" s="180" t="n">
        <x:v>42</x:v>
      </x:c>
      <x:c r="B44" s="181" t="str">
        <x:v>5-208030-A-0.wav</x:v>
      </x:c>
      <x:c r="C44" s="181" t="str">
        <x:v>dog</x:v>
      </x:c>
      <x:c r="D44" s="181" t="str">
        <x:v>dog</x:v>
      </x:c>
      <x:c r="E44" s="182" t="n">
        <x:v>1</x:v>
      </x:c>
      <x:c r="F44" s="181" t="n">
        <x:v>6</x:v>
      </x:c>
      <x:c r="G44" s="183" t="n">
        <x:v>0.5123698115348816</x:v>
      </x:c>
      <x:c r="H44" s="181" t="str">
        <x:v>coughing</x:v>
      </x:c>
      <x:c r="I44" s="183" t="n">
        <x:v>0.310546875</x:v>
      </x:c>
      <x:c r="J44" s="181" t="str">
        <x:v>clapping</x:v>
      </x:c>
      <x:c r="K44" s="183" t="n">
        <x:v>0.125</x:v>
      </x:c>
    </x:row>
    <x:row r="45">
      <x:c r="A45" s="180" t="n">
        <x:v>43</x:v>
      </x:c>
      <x:c r="B45" s="181" t="str">
        <x:v>5-212454-A-0.wav</x:v>
      </x:c>
      <x:c r="C45" s="181" t="str">
        <x:v>dog</x:v>
      </x:c>
      <x:c r="D45" s="181" t="str">
        <x:v>dog</x:v>
      </x:c>
      <x:c r="E45" s="182" t="n">
        <x:v>1</x:v>
      </x:c>
      <x:c r="F45" s="181" t="n">
        <x:v>6</x:v>
      </x:c>
      <x:c r="G45" s="183" t="n">
        <x:v>0.73046875</x:v>
      </x:c>
      <x:c r="H45" s="181" t="str">
        <x:v>crying_baby</x:v>
      </x:c>
      <x:c r="I45" s="183" t="n">
        <x:v>0.1432291716337204</x:v>
      </x:c>
      <x:c r="J45" s="181" t="str">
        <x:v>coughing</x:v>
      </x:c>
      <x:c r="K45" s="183" t="n">
        <x:v>0.12109375</x:v>
      </x:c>
    </x:row>
    <x:row r="46">
      <x:c r="A46" s="180" t="n">
        <x:v>44</x:v>
      </x:c>
      <x:c r="B46" s="181" t="str">
        <x:v>5-213855-A-0.wav</x:v>
      </x:c>
      <x:c r="C46" s="181" t="str">
        <x:v>dog</x:v>
      </x:c>
      <x:c r="D46" s="181" t="str">
        <x:v>dog</x:v>
      </x:c>
      <x:c r="E46" s="182" t="n">
        <x:v>1</x:v>
      </x:c>
      <x:c r="F46" s="181" t="n">
        <x:v>6</x:v>
      </x:c>
      <x:c r="G46" s="183" t="n">
        <x:v>0.4381510317325592</x:v>
      </x:c>
      <x:c r="H46" s="181" t="str">
        <x:v>siren</x:v>
      </x:c>
      <x:c r="I46" s="183" t="n">
        <x:v>0.3255208432674408</x:v>
      </x:c>
      <x:c r="J46" s="181" t="str">
        <x:v>coughing</x:v>
      </x:c>
      <x:c r="K46" s="183" t="n">
        <x:v>0.0970052108168602</x:v>
      </x:c>
    </x:row>
    <x:row r="47">
      <x:c r="A47" s="180" t="n">
        <x:v>45</x:v>
      </x:c>
      <x:c r="B47" s="181" t="str">
        <x:v>5-217158-A-0.wav</x:v>
      </x:c>
      <x:c r="C47" s="181" t="str">
        <x:v>dog</x:v>
      </x:c>
      <x:c r="D47" s="181" t="str">
        <x:v>dog</x:v>
      </x:c>
      <x:c r="E47" s="182" t="n">
        <x:v>1</x:v>
      </x:c>
      <x:c r="F47" s="181" t="n">
        <x:v>6</x:v>
      </x:c>
      <x:c r="G47" s="183" t="n">
        <x:v>0.517578125</x:v>
      </x:c>
      <x:c r="H47" s="181" t="str">
        <x:v>siren</x:v>
      </x:c>
      <x:c r="I47" s="183" t="n">
        <x:v>0.1373697966337204</x:v>
      </x:c>
      <x:c r="J47" s="181" t="str">
        <x:v>crying_baby</x:v>
      </x:c>
      <x:c r="K47" s="183" t="n">
        <x:v>0.0911458358168602</x:v>
      </x:c>
    </x:row>
    <x:row r="48">
      <x:c r="A48" s="180" t="n">
        <x:v>46</x:v>
      </x:c>
      <x:c r="B48" s="181" t="str">
        <x:v>5-231762-A-0.wav</x:v>
      </x:c>
      <x:c r="C48" s="181" t="str">
        <x:v>dog</x:v>
      </x:c>
      <x:c r="D48" s="181" t="str">
        <x:v>crying_baby</x:v>
      </x:c>
      <x:c r="E48" s="182" t="n">
        <x:v>0</x:v>
      </x:c>
      <x:c r="F48" s="181" t="n">
        <x:v>1</x:v>
      </x:c>
      <x:c r="G48" s="183" t="n">
        <x:v>0.44140625</x:v>
      </x:c>
      <x:c r="H48" s="181" t="str">
        <x:v>dog</x:v>
      </x:c>
      <x:c r="I48" s="183" t="n">
        <x:v>0.40234375</x:v>
      </x:c>
      <x:c r="J48" s="181" t="str">
        <x:v>coughing</x:v>
      </x:c>
      <x:c r="K48" s="183" t="n">
        <x:v>0.12890625</x:v>
      </x:c>
    </x:row>
    <x:row r="49">
      <x:c r="A49" s="180" t="n">
        <x:v>47</x:v>
      </x:c>
      <x:c r="B49" s="181" t="str">
        <x:v>5-9032-A-0.wav</x:v>
      </x:c>
      <x:c r="C49" s="181" t="str">
        <x:v>dog</x:v>
      </x:c>
      <x:c r="D49" s="181" t="str">
        <x:v>dog</x:v>
      </x:c>
      <x:c r="E49" s="182" t="n">
        <x:v>1</x:v>
      </x:c>
      <x:c r="F49" s="181" t="n">
        <x:v>3</x:v>
      </x:c>
      <x:c r="G49" s="183" t="n">
        <x:v>0.5833333134651184</x:v>
      </x:c>
      <x:c r="H49" s="181" t="str">
        <x:v>coughing</x:v>
      </x:c>
      <x:c r="I49" s="183" t="n">
        <x:v>0.32421875</x:v>
      </x:c>
      <x:c r="J49" s="181" t="str">
        <x:v>crying_baby</x:v>
      </x:c>
      <x:c r="K49" s="183" t="n">
        <x:v>0.0611979179084301</x:v>
      </x:c>
    </x:row>
    <x:row r="50">
      <x:c r="A50" s="180" t="n">
        <x:v>48</x:v>
      </x:c>
      <x:c r="B50" s="181" t="str">
        <x:v>5-218980-A-30.wav</x:v>
      </x:c>
      <x:c r="C50" s="181" t="str">
        <x:v>door_wood_knock</x:v>
      </x:c>
      <x:c r="D50" s="181" t="str">
        <x:v>door_wood_knock</x:v>
      </x:c>
      <x:c r="E50" s="182" t="n">
        <x:v>1</x:v>
      </x:c>
      <x:c r="F50" s="181" t="n">
        <x:v>2</x:v>
      </x:c>
      <x:c r="G50" s="183" t="n">
        <x:v>0.486328125</x:v>
      </x:c>
      <x:c r="H50" s="181" t="str">
        <x:v>glass_breaking</x:v>
      </x:c>
      <x:c r="I50" s="183" t="n">
        <x:v>0.1171875</x:v>
      </x:c>
      <x:c r="J50" s="181" t="str">
        <x:v>coughing</x:v>
      </x:c>
      <x:c r="K50" s="183" t="n">
        <x:v>0.091796875</x:v>
      </x:c>
    </x:row>
    <x:row r="51">
      <x:c r="A51" s="180" t="n">
        <x:v>49</x:v>
      </x:c>
      <x:c r="B51" s="181" t="str">
        <x:v>5-218981-A-30.wav</x:v>
      </x:c>
      <x:c r="C51" s="181" t="str">
        <x:v>door_wood_knock</x:v>
      </x:c>
      <x:c r="D51" s="181" t="str">
        <x:v>door_wood_knock</x:v>
      </x:c>
      <x:c r="E51" s="182" t="n">
        <x:v>1</x:v>
      </x:c>
      <x:c r="F51" s="181" t="n">
        <x:v>1</x:v>
      </x:c>
      <x:c r="G51" s="183" t="n">
        <x:v>0.29296875</x:v>
      </x:c>
      <x:c r="H51" s="181" t="str">
        <x:v>glass_breaking</x:v>
      </x:c>
      <x:c r="I51" s="183" t="n">
        <x:v>0.19921875</x:v>
      </x:c>
      <x:c r="J51" s="181" t="str">
        <x:v>footsteps</x:v>
      </x:c>
      <x:c r="K51" s="183" t="n">
        <x:v>0.19921875</x:v>
      </x:c>
    </x:row>
    <x:row r="52">
      <x:c r="A52" s="180" t="n">
        <x:v>50</x:v>
      </x:c>
      <x:c r="B52" s="181" t="str">
        <x:v>5-235644-A-30.wav</x:v>
      </x:c>
      <x:c r="C52" s="181" t="str">
        <x:v>door_wood_knock</x:v>
      </x:c>
      <x:c r="D52" s="181" t="str">
        <x:v>door_wood_knock</x:v>
      </x:c>
      <x:c r="E52" s="182" t="n">
        <x:v>1</x:v>
      </x:c>
      <x:c r="F52" s="181" t="n">
        <x:v>2</x:v>
      </x:c>
      <x:c r="G52" s="183" t="n">
        <x:v>0.767578125</x:v>
      </x:c>
      <x:c r="H52" s="181" t="str">
        <x:v>footsteps</x:v>
      </x:c>
      <x:c r="I52" s="183" t="n">
        <x:v>0.07421875</x:v>
      </x:c>
      <x:c r="J52" s="181" t="str">
        <x:v>crackling_fire</x:v>
      </x:c>
      <x:c r="K52" s="183" t="n">
        <x:v>0.0625</x:v>
      </x:c>
    </x:row>
    <x:row r="53">
      <x:c r="A53" s="180" t="n">
        <x:v>51</x:v>
      </x:c>
      <x:c r="B53" s="181" t="str">
        <x:v>5-250026-A-30.wav</x:v>
      </x:c>
      <x:c r="C53" s="181" t="str">
        <x:v>door_wood_knock</x:v>
      </x:c>
      <x:c r="D53" s="181" t="str">
        <x:v>door_wood_knock</x:v>
      </x:c>
      <x:c r="E53" s="182" t="n">
        <x:v>1</x:v>
      </x:c>
      <x:c r="F53" s="181" t="n">
        <x:v>4</x:v>
      </x:c>
      <x:c r="G53" s="183" t="n">
        <x:v>0.8037109375</x:v>
      </x:c>
      <x:c r="H53" s="181" t="str">
        <x:v>coughing</x:v>
      </x:c>
      <x:c r="I53" s="183" t="n">
        <x:v>0.1025390625</x:v>
      </x:c>
      <x:c r="J53" s="181" t="str">
        <x:v>glass_breaking</x:v>
      </x:c>
      <x:c r="K53" s="183" t="n">
        <x:v>0.0498046875</x:v>
      </x:c>
    </x:row>
    <x:row r="54">
      <x:c r="A54" s="180" t="n">
        <x:v>52</x:v>
      </x:c>
      <x:c r="B54" s="181" t="str">
        <x:v>5-250026-B-30.wav</x:v>
      </x:c>
      <x:c r="C54" s="181" t="str">
        <x:v>door_wood_knock</x:v>
      </x:c>
      <x:c r="D54" s="181" t="str">
        <x:v>clapping</x:v>
      </x:c>
      <x:c r="E54" s="182" t="n">
        <x:v>0</x:v>
      </x:c>
      <x:c r="F54" s="181" t="n">
        <x:v>6</x:v>
      </x:c>
      <x:c r="G54" s="183" t="n">
        <x:v>0.3548177182674408</x:v>
      </x:c>
      <x:c r="H54" s="181" t="str">
        <x:v>door_wood_knock</x:v>
      </x:c>
      <x:c r="I54" s="183" t="n">
        <x:v>0.2174479216337204</x:v>
      </x:c>
      <x:c r="J54" s="181" t="str">
        <x:v>glass_breaking</x:v>
      </x:c>
      <x:c r="K54" s="183" t="n">
        <x:v>0.18359375</x:v>
      </x:c>
    </x:row>
    <x:row r="55">
      <x:c r="A55" s="180" t="n">
        <x:v>53</x:v>
      </x:c>
      <x:c r="B55" s="181" t="str">
        <x:v>5-251426-A-30.wav</x:v>
      </x:c>
      <x:c r="C55" s="181" t="str">
        <x:v>door_wood_knock</x:v>
      </x:c>
      <x:c r="D55" s="181" t="str">
        <x:v>door_wood_knock</x:v>
      </x:c>
      <x:c r="E55" s="182" t="n">
        <x:v>1</x:v>
      </x:c>
      <x:c r="F55" s="181" t="n">
        <x:v>6</x:v>
      </x:c>
      <x:c r="G55" s="183" t="n">
        <x:v>0.8678385615348816</x:v>
      </x:c>
      <x:c r="H55" s="181" t="str">
        <x:v>coughing</x:v>
      </x:c>
      <x:c r="I55" s="183" t="n">
        <x:v>0.0390625</x:v>
      </x:c>
      <x:c r="J55" s="181" t="str">
        <x:v>glass_breaking</x:v>
      </x:c>
      <x:c r="K55" s="183" t="n">
        <x:v>0.025390625</x:v>
      </x:c>
    </x:row>
    <x:row r="56">
      <x:c r="A56" s="180" t="n">
        <x:v>54</x:v>
      </x:c>
      <x:c r="B56" s="181" t="str">
        <x:v>5-251426-B-30.wav</x:v>
      </x:c>
      <x:c r="C56" s="181" t="str">
        <x:v>door_wood_knock</x:v>
      </x:c>
      <x:c r="D56" s="181" t="str">
        <x:v>door_wood_knock</x:v>
      </x:c>
      <x:c r="E56" s="182" t="n">
        <x:v>1</x:v>
      </x:c>
      <x:c r="F56" s="181" t="n">
        <x:v>6</x:v>
      </x:c>
      <x:c r="G56" s="183" t="n">
        <x:v>0.7701823115348816</x:v>
      </x:c>
      <x:c r="H56" s="181" t="str">
        <x:v>coughing</x:v>
      </x:c>
      <x:c r="I56" s="183" t="n">
        <x:v>0.056640625</x:v>
      </x:c>
      <x:c r="J56" s="181" t="str">
        <x:v>crackling_fire</x:v>
      </x:c>
      <x:c r="K56" s="183" t="n">
        <x:v>0.0514322929084301</x:v>
      </x:c>
    </x:row>
    <x:row r="57">
      <x:c r="A57" s="180" t="n">
        <x:v>55</x:v>
      </x:c>
      <x:c r="B57" s="181" t="str">
        <x:v>5-256512-A-30.wav</x:v>
      </x:c>
      <x:c r="C57" s="181" t="str">
        <x:v>door_wood_knock</x:v>
      </x:c>
      <x:c r="D57" s="181" t="str">
        <x:v>door_wood_knock</x:v>
      </x:c>
      <x:c r="E57" s="182" t="n">
        <x:v>1</x:v>
      </x:c>
      <x:c r="F57" s="181" t="n">
        <x:v>6</x:v>
      </x:c>
      <x:c r="G57" s="183" t="n">
        <x:v>0.6432291865348816</x:v>
      </x:c>
      <x:c r="H57" s="181" t="str">
        <x:v>dog</x:v>
      </x:c>
      <x:c r="I57" s="183" t="n">
        <x:v>0.099609375</x:v>
      </x:c>
      <x:c r="J57" s="181" t="str">
        <x:v>coughing</x:v>
      </x:c>
      <x:c r="K57" s="183" t="n">
        <x:v>0.09375</x:v>
      </x:c>
    </x:row>
    <x:row r="58">
      <x:c r="A58" s="180" t="n">
        <x:v>56</x:v>
      </x:c>
      <x:c r="B58" s="181" t="str">
        <x:v>5-234263-A-25.wav</x:v>
      </x:c>
      <x:c r="C58" s="181" t="str">
        <x:v>footsteps</x:v>
      </x:c>
      <x:c r="D58" s="181" t="str">
        <x:v>clapping</x:v>
      </x:c>
      <x:c r="E58" s="182" t="n">
        <x:v>0</x:v>
      </x:c>
      <x:c r="F58" s="181" t="n">
        <x:v>2</x:v>
      </x:c>
      <x:c r="G58" s="183" t="n">
        <x:v>0.2890625</x:v>
      </x:c>
      <x:c r="H58" s="181" t="str">
        <x:v>door_wood_knock</x:v>
      </x:c>
      <x:c r="I58" s="183" t="n">
        <x:v>0.263671875</x:v>
      </x:c>
      <x:c r="J58" s="181" t="str">
        <x:v>glass_breaking</x:v>
      </x:c>
      <x:c r="K58" s="183" t="n">
        <x:v>0.20703125</x:v>
      </x:c>
    </x:row>
    <x:row r="59">
      <x:c r="A59" s="180" t="n">
        <x:v>57</x:v>
      </x:c>
      <x:c r="B59" s="181" t="str">
        <x:v>5-234855-A-25.wav</x:v>
      </x:c>
      <x:c r="C59" s="181" t="str">
        <x:v>footsteps</x:v>
      </x:c>
      <x:c r="D59" s="181" t="str">
        <x:v>footsteps</x:v>
      </x:c>
      <x:c r="E59" s="182" t="n">
        <x:v>1</x:v>
      </x:c>
      <x:c r="F59" s="181" t="n">
        <x:v>6</x:v>
      </x:c>
      <x:c r="G59" s="183" t="n">
        <x:v>0.4772135317325592</x:v>
      </x:c>
      <x:c r="H59" s="181" t="str">
        <x:v>door_wood_knock</x:v>
      </x:c>
      <x:c r="I59" s="183" t="n">
        <x:v>0.185546875</x:v>
      </x:c>
      <x:c r="J59" s="181" t="str">
        <x:v>crackling_fire</x:v>
      </x:c>
      <x:c r="K59" s="183" t="n">
        <x:v>0.107421875</x:v>
      </x:c>
    </x:row>
    <x:row r="60">
      <x:c r="A60" s="180" t="n">
        <x:v>58</x:v>
      </x:c>
      <x:c r="B60" s="181" t="str">
        <x:v>5-243025-A-25.wav</x:v>
      </x:c>
      <x:c r="C60" s="181" t="str">
        <x:v>footsteps</x:v>
      </x:c>
      <x:c r="D60" s="181" t="str">
        <x:v>footsteps</x:v>
      </x:c>
      <x:c r="E60" s="182" t="n">
        <x:v>1</x:v>
      </x:c>
      <x:c r="F60" s="181" t="n">
        <x:v>6</x:v>
      </x:c>
      <x:c r="G60" s="183" t="n">
        <x:v>0.5130208134651184</x:v>
      </x:c>
      <x:c r="H60" s="181" t="str">
        <x:v>crackling_fire</x:v>
      </x:c>
      <x:c r="I60" s="183" t="n">
        <x:v>0.2858072817325592</x:v>
      </x:c>
      <x:c r="J60" s="181" t="str">
        <x:v>clapping</x:v>
      </x:c>
      <x:c r="K60" s="183" t="n">
        <x:v>0.1569010466337204</x:v>
      </x:c>
    </x:row>
    <x:row r="61">
      <x:c r="A61" s="180" t="n">
        <x:v>59</x:v>
      </x:c>
      <x:c r="B61" s="181" t="str">
        <x:v>5-244310-A-25.wav</x:v>
      </x:c>
      <x:c r="C61" s="181" t="str">
        <x:v>footsteps</x:v>
      </x:c>
      <x:c r="D61" s="181" t="str">
        <x:v>footsteps</x:v>
      </x:c>
      <x:c r="E61" s="182" t="n">
        <x:v>1</x:v>
      </x:c>
      <x:c r="F61" s="181" t="n">
        <x:v>6</x:v>
      </x:c>
      <x:c r="G61" s="183" t="n">
        <x:v>0.486328125</x:v>
      </x:c>
      <x:c r="H61" s="181" t="str">
        <x:v>crackling_fire</x:v>
      </x:c>
      <x:c r="I61" s="183" t="n">
        <x:v>0.34765625</x:v>
      </x:c>
      <x:c r="J61" s="181" t="str">
        <x:v>clapping</x:v>
      </x:c>
      <x:c r="K61" s="183" t="n">
        <x:v>0.1282552033662796</x:v>
      </x:c>
    </x:row>
    <x:row r="62">
      <x:c r="A62" s="180" t="n">
        <x:v>60</x:v>
      </x:c>
      <x:c r="B62" s="181" t="str">
        <x:v>5-263490-A-25.wav</x:v>
      </x:c>
      <x:c r="C62" s="181" t="str">
        <x:v>footsteps</x:v>
      </x:c>
      <x:c r="D62" s="181" t="str">
        <x:v>footsteps</x:v>
      </x:c>
      <x:c r="E62" s="182" t="n">
        <x:v>1</x:v>
      </x:c>
      <x:c r="F62" s="181" t="n">
        <x:v>6</x:v>
      </x:c>
      <x:c r="G62" s="183" t="n">
        <x:v>0.4407552182674408</x:v>
      </x:c>
      <x:c r="H62" s="181" t="str">
        <x:v>crackling_fire</x:v>
      </x:c>
      <x:c r="I62" s="183" t="n">
        <x:v>0.3860677182674408</x:v>
      </x:c>
      <x:c r="J62" s="181" t="str">
        <x:v>door_wood_knock</x:v>
      </x:c>
      <x:c r="K62" s="183" t="n">
        <x:v>0.0494791679084301</x:v>
      </x:c>
    </x:row>
    <x:row r="63">
      <x:c r="A63" s="180" t="n">
        <x:v>61</x:v>
      </x:c>
      <x:c r="B63" s="181" t="str">
        <x:v>5-263491-A-25.wav</x:v>
      </x:c>
      <x:c r="C63" s="181" t="str">
        <x:v>footsteps</x:v>
      </x:c>
      <x:c r="D63" s="181" t="str">
        <x:v>footsteps</x:v>
      </x:c>
      <x:c r="E63" s="182" t="n">
        <x:v>1</x:v>
      </x:c>
      <x:c r="F63" s="181" t="n">
        <x:v>6</x:v>
      </x:c>
      <x:c r="G63" s="183" t="n">
        <x:v>0.4680989682674408</x:v>
      </x:c>
      <x:c r="H63" s="181" t="str">
        <x:v>crackling_fire</x:v>
      </x:c>
      <x:c r="I63" s="183" t="n">
        <x:v>0.3411458432674408</x:v>
      </x:c>
      <x:c r="J63" s="181" t="str">
        <x:v>clapping</x:v>
      </x:c>
      <x:c r="K63" s="183" t="n">
        <x:v>0.0983072891831398</x:v>
      </x:c>
    </x:row>
    <x:row r="64">
      <x:c r="A64" s="180" t="n">
        <x:v>62</x:v>
      </x:c>
      <x:c r="B64" s="181" t="str">
        <x:v>5-263501-A-25.wav</x:v>
      </x:c>
      <x:c r="C64" s="181" t="str">
        <x:v>footsteps</x:v>
      </x:c>
      <x:c r="D64" s="181" t="str">
        <x:v>footsteps</x:v>
      </x:c>
      <x:c r="E64" s="182" t="n">
        <x:v>1</x:v>
      </x:c>
      <x:c r="F64" s="181" t="n">
        <x:v>6</x:v>
      </x:c>
      <x:c r="G64" s="183" t="n">
        <x:v>0.5631510615348816</x:v>
      </x:c>
      <x:c r="H64" s="181" t="str">
        <x:v>crackling_fire</x:v>
      </x:c>
      <x:c r="I64" s="183" t="n">
        <x:v>0.1197916641831398</x:v>
      </x:c>
      <x:c r="J64" s="181" t="str">
        <x:v>clapping</x:v>
      </x:c>
      <x:c r="K64" s="183" t="n">
        <x:v>0.1002604141831398</x:v>
      </x:c>
    </x:row>
    <x:row r="65">
      <x:c r="A65" s="180" t="n">
        <x:v>63</x:v>
      </x:c>
      <x:c r="B65" s="181" t="str">
        <x:v>5-51149-A-25.wav</x:v>
      </x:c>
      <x:c r="C65" s="181" t="str">
        <x:v>footsteps</x:v>
      </x:c>
      <x:c r="D65" s="181" t="str">
        <x:v>footsteps</x:v>
      </x:c>
      <x:c r="E65" s="182" t="n">
        <x:v>1</x:v>
      </x:c>
      <x:c r="F65" s="181" t="n">
        <x:v>5</x:v>
      </x:c>
      <x:c r="G65" s="183" t="n">
        <x:v>0.5257812738418579</x:v>
      </x:c>
      <x:c r="H65" s="181" t="str">
        <x:v>clapping</x:v>
      </x:c>
      <x:c r="I65" s="183" t="n">
        <x:v>0.22421875596046448</x:v>
      </x:c>
      <x:c r="J65" s="181" t="str">
        <x:v>door_wood_knock</x:v>
      </x:c>
      <x:c r="K65" s="183" t="n">
        <x:v>0.11249999701976776</x:v>
      </x:c>
    </x:row>
    <x:row r="66">
      <x:c r="A66" s="180" t="n">
        <x:v>64</x:v>
      </x:c>
      <x:c r="B66" s="181" t="str">
        <x:v>5-221528-A-39.wav</x:v>
      </x:c>
      <x:c r="C66" s="181" t="str">
        <x:v>glass_breaking</x:v>
      </x:c>
      <x:c r="D66" s="181" t="str">
        <x:v>glass_breaking</x:v>
      </x:c>
      <x:c r="E66" s="182" t="n">
        <x:v>1</x:v>
      </x:c>
      <x:c r="F66" s="181" t="n">
        <x:v>2</x:v>
      </x:c>
      <x:c r="G66" s="183" t="n">
        <x:v>0.48046875</x:v>
      </x:c>
      <x:c r="H66" s="181" t="str">
        <x:v>door_wood_knock</x:v>
      </x:c>
      <x:c r="I66" s="183" t="n">
        <x:v>0.150390625</x:v>
      </x:c>
      <x:c r="J66" s="181" t="str">
        <x:v>coughing</x:v>
      </x:c>
      <x:c r="K66" s="183" t="n">
        <x:v>0.1171875</x:v>
      </x:c>
    </x:row>
    <x:row r="67">
      <x:c r="A67" s="180" t="n">
        <x:v>65</x:v>
      </x:c>
      <x:c r="B67" s="181" t="str">
        <x:v>5-221529-A-39.wav</x:v>
      </x:c>
      <x:c r="C67" s="181" t="str">
        <x:v>glass_breaking</x:v>
      </x:c>
      <x:c r="D67" s="181" t="str">
        <x:v>glass_breaking</x:v>
      </x:c>
      <x:c r="E67" s="182" t="n">
        <x:v>1</x:v>
      </x:c>
      <x:c r="F67" s="181" t="n">
        <x:v>2</x:v>
      </x:c>
      <x:c r="G67" s="183" t="n">
        <x:v>0.515625</x:v>
      </x:c>
      <x:c r="H67" s="181" t="str">
        <x:v>footsteps</x:v>
      </x:c>
      <x:c r="I67" s="183" t="n">
        <x:v>0.130859375</x:v>
      </x:c>
      <x:c r="J67" s="181" t="str">
        <x:v>clapping</x:v>
      </x:c>
      <x:c r="K67" s="183" t="n">
        <x:v>0.0859375</x:v>
      </x:c>
    </x:row>
    <x:row r="68">
      <x:c r="A68" s="180" t="n">
        <x:v>66</x:v>
      </x:c>
      <x:c r="B68" s="181" t="str">
        <x:v>5-233605-A-39.wav</x:v>
      </x:c>
      <x:c r="C68" s="181" t="str">
        <x:v>glass_breaking</x:v>
      </x:c>
      <x:c r="D68" s="181" t="str">
        <x:v>clapping</x:v>
      </x:c>
      <x:c r="E68" s="182" t="n">
        <x:v>0</x:v>
      </x:c>
      <x:c r="F68" s="181" t="n">
        <x:v>1</x:v>
      </x:c>
      <x:c r="G68" s="183" t="n">
        <x:v>0.6171875</x:v>
      </x:c>
      <x:c r="H68" s="181" t="str">
        <x:v>glass_breaking</x:v>
      </x:c>
      <x:c r="I68" s="183" t="n">
        <x:v>0.21875</x:v>
      </x:c>
      <x:c r="J68" s="181" t="str">
        <x:v>coughing</x:v>
      </x:c>
      <x:c r="K68" s="183" t="n">
        <x:v>0.09375</x:v>
      </x:c>
    </x:row>
    <x:row r="69">
      <x:c r="A69" s="180" t="n">
        <x:v>67</x:v>
      </x:c>
      <x:c r="B69" s="181" t="str">
        <x:v>5-233607-A-39.wav</x:v>
      </x:c>
      <x:c r="C69" s="181" t="str">
        <x:v>glass_breaking</x:v>
      </x:c>
      <x:c r="D69" s="181" t="str">
        <x:v>glass_breaking</x:v>
      </x:c>
      <x:c r="E69" s="182" t="n">
        <x:v>1</x:v>
      </x:c>
      <x:c r="F69" s="181" t="n">
        <x:v>1</x:v>
      </x:c>
      <x:c r="G69" s="183" t="n">
        <x:v>0.515625</x:v>
      </x:c>
      <x:c r="H69" s="181" t="str">
        <x:v>clapping</x:v>
      </x:c>
      <x:c r="I69" s="183" t="n">
        <x:v>0.1484375</x:v>
      </x:c>
      <x:c r="J69" s="181" t="str">
        <x:v>dog</x:v>
      </x:c>
      <x:c r="K69" s="183" t="n">
        <x:v>0.125</x:v>
      </x:c>
    </x:row>
    <x:row r="70">
      <x:c r="A70" s="180" t="n">
        <x:v>68</x:v>
      </x:c>
      <x:c r="B70" s="181" t="str">
        <x:v>5-257642-A-39.wav</x:v>
      </x:c>
      <x:c r="C70" s="181" t="str">
        <x:v>glass_breaking</x:v>
      </x:c>
      <x:c r="D70" s="181" t="str">
        <x:v>glass_breaking</x:v>
      </x:c>
      <x:c r="E70" s="182" t="n">
        <x:v>1</x:v>
      </x:c>
      <x:c r="F70" s="181" t="n">
        <x:v>5</x:v>
      </x:c>
      <x:c r="G70" s="183" t="n">
        <x:v>0.5609375238418579</x:v>
      </x:c>
      <x:c r="H70" s="181" t="str">
        <x:v>coughing</x:v>
      </x:c>
      <x:c r="I70" s="183" t="n">
        <x:v>0.11640624701976776</x:v>
      </x:c>
      <x:c r="J70" s="181" t="str">
        <x:v>dog</x:v>
      </x:c>
      <x:c r="K70" s="183" t="n">
        <x:v>0.10234375298023224</x:v>
      </x:c>
    </x:row>
    <x:row r="71">
      <x:c r="A71" s="180" t="n">
        <x:v>69</x:v>
      </x:c>
      <x:c r="B71" s="181" t="str">
        <x:v>5-260432-A-39.wav</x:v>
      </x:c>
      <x:c r="C71" s="181" t="str">
        <x:v>glass_breaking</x:v>
      </x:c>
      <x:c r="D71" s="181" t="str">
        <x:v>glass_breaking</x:v>
      </x:c>
      <x:c r="E71" s="182" t="n">
        <x:v>1</x:v>
      </x:c>
      <x:c r="F71" s="181" t="n">
        <x:v>1</x:v>
      </x:c>
      <x:c r="G71" s="183" t="n">
        <x:v>0.6328125</x:v>
      </x:c>
      <x:c r="H71" s="181" t="str">
        <x:v>clapping</x:v>
      </x:c>
      <x:c r="I71" s="183" t="n">
        <x:v>0.125</x:v>
      </x:c>
      <x:c r="J71" s="181" t="str">
        <x:v>coughing</x:v>
      </x:c>
      <x:c r="K71" s="183" t="n">
        <x:v>0.11328125</x:v>
      </x:c>
    </x:row>
    <x:row r="72">
      <x:c r="A72" s="180" t="n">
        <x:v>70</x:v>
      </x:c>
      <x:c r="B72" s="181" t="str">
        <x:v>5-260433-A-39.wav</x:v>
      </x:c>
      <x:c r="C72" s="181" t="str">
        <x:v>glass_breaking</x:v>
      </x:c>
      <x:c r="D72" s="181" t="str">
        <x:v>glass_breaking</x:v>
      </x:c>
      <x:c r="E72" s="182" t="n">
        <x:v>1</x:v>
      </x:c>
      <x:c r="F72" s="181" t="n">
        <x:v>1</x:v>
      </x:c>
      <x:c r="G72" s="183" t="n">
        <x:v>0.58203125</x:v>
      </x:c>
      <x:c r="H72" s="181" t="str">
        <x:v>clapping</x:v>
      </x:c>
      <x:c r="I72" s="183" t="n">
        <x:v>0.2734375</x:v>
      </x:c>
      <x:c r="J72" s="181" t="str">
        <x:v>coughing</x:v>
      </x:c>
      <x:c r="K72" s="183" t="n">
        <x:v>0.09375</x:v>
      </x:c>
    </x:row>
    <x:row r="73">
      <x:c r="A73" s="180" t="n">
        <x:v>71</x:v>
      </x:c>
      <x:c r="B73" s="181" t="str">
        <x:v>5-260434-A-39.wav</x:v>
      </x:c>
      <x:c r="C73" s="181" t="str">
        <x:v>glass_breaking</x:v>
      </x:c>
      <x:c r="D73" s="181" t="str">
        <x:v>glass_breaking</x:v>
      </x:c>
      <x:c r="E73" s="182" t="n">
        <x:v>1</x:v>
      </x:c>
      <x:c r="F73" s="181" t="n">
        <x:v>1</x:v>
      </x:c>
      <x:c r="G73" s="183" t="n">
        <x:v>0.89453125</x:v>
      </x:c>
      <x:c r="H73" s="181" t="str">
        <x:v>clapping</x:v>
      </x:c>
      <x:c r="I73" s="183" t="n">
        <x:v>0.0390625</x:v>
      </x:c>
      <x:c r="J73" s="181" t="str">
        <x:v>crying_baby</x:v>
      </x:c>
      <x:c r="K73" s="183" t="n">
        <x:v>0.02734375</x:v>
      </x:c>
    </x:row>
    <x:row r="74">
      <x:c r="A74" s="180" t="n">
        <x:v>72</x:v>
      </x:c>
      <x:c r="B74" s="181" t="str">
        <x:v>5-117118-A-42.wav</x:v>
      </x:c>
      <x:c r="C74" s="181" t="str">
        <x:v>siren</x:v>
      </x:c>
      <x:c r="D74" s="181" t="str">
        <x:v>siren</x:v>
      </x:c>
      <x:c r="E74" s="182" t="n">
        <x:v>1</x:v>
      </x:c>
      <x:c r="F74" s="181" t="n">
        <x:v>6</x:v>
      </x:c>
      <x:c r="G74" s="183" t="n">
        <x:v>0.7513020634651184</x:v>
      </x:c>
      <x:c r="H74" s="181" t="str">
        <x:v>chainsaw</x:v>
      </x:c>
      <x:c r="I74" s="183" t="n">
        <x:v>0.1263020783662796</x:v>
      </x:c>
      <x:c r="J74" s="181" t="str">
        <x:v>crying_baby</x:v>
      </x:c>
      <x:c r="K74" s="183" t="n">
        <x:v>0.1028645858168602</x:v>
      </x:c>
    </x:row>
    <x:row r="75">
      <x:c r="A75" s="180" t="n">
        <x:v>73</x:v>
      </x:c>
      <x:c r="B75" s="181" t="str">
        <x:v>5-117120-A-42.wav</x:v>
      </x:c>
      <x:c r="C75" s="181" t="str">
        <x:v>siren</x:v>
      </x:c>
      <x:c r="D75" s="181" t="str">
        <x:v>siren</x:v>
      </x:c>
      <x:c r="E75" s="182" t="n">
        <x:v>1</x:v>
      </x:c>
      <x:c r="F75" s="181" t="n">
        <x:v>6</x:v>
      </x:c>
      <x:c r="G75" s="183" t="n">
        <x:v>0.8470051884651184</x:v>
      </x:c>
      <x:c r="H75" s="181" t="str">
        <x:v>crying_baby</x:v>
      </x:c>
      <x:c r="I75" s="183" t="n">
        <x:v>0.1490885466337204</x:v>
      </x:c>
      <x:c r="J75" s="181" t="str">
        <x:v>chainsaw</x:v>
      </x:c>
      <x:c r="K75" s="183" t="n">
        <x:v>0.001953125</x:v>
      </x:c>
    </x:row>
    <x:row r="76">
      <x:c r="A76" s="180" t="n">
        <x:v>74</x:v>
      </x:c>
      <x:c r="B76" s="181" t="str">
        <x:v>5-117122-A-42.wav</x:v>
      </x:c>
      <x:c r="C76" s="181" t="str">
        <x:v>siren</x:v>
      </x:c>
      <x:c r="D76" s="181" t="str">
        <x:v>siren</x:v>
      </x:c>
      <x:c r="E76" s="182" t="n">
        <x:v>1</x:v>
      </x:c>
      <x:c r="F76" s="181" t="n">
        <x:v>6</x:v>
      </x:c>
      <x:c r="G76" s="183" t="n">
        <x:v>0.6295573115348816</x:v>
      </x:c>
      <x:c r="H76" s="181" t="str">
        <x:v>chainsaw</x:v>
      </x:c>
      <x:c r="I76" s="183" t="n">
        <x:v>0.20703125</x:v>
      </x:c>
      <x:c r="J76" s="181" t="str">
        <x:v>crying_baby</x:v>
      </x:c>
      <x:c r="K76" s="183" t="n">
        <x:v>0.1184895858168602</x:v>
      </x:c>
    </x:row>
    <x:row r="77">
      <x:c r="A77" s="180" t="n">
        <x:v>75</x:v>
      </x:c>
      <x:c r="B77" s="181" t="str">
        <x:v>5-133989-A-42.wav</x:v>
      </x:c>
      <x:c r="C77" s="181" t="str">
        <x:v>siren</x:v>
      </x:c>
      <x:c r="D77" s="181" t="str">
        <x:v>siren</x:v>
      </x:c>
      <x:c r="E77" s="182" t="n">
        <x:v>1</x:v>
      </x:c>
      <x:c r="F77" s="181" t="n">
        <x:v>6</x:v>
      </x:c>
      <x:c r="G77" s="183" t="n">
        <x:v>0.9576823115348816</x:v>
      </x:c>
      <x:c r="H77" s="181" t="str">
        <x:v>chainsaw</x:v>
      </x:c>
      <x:c r="I77" s="183" t="n">
        <x:v>0.02083333395421505</x:v>
      </x:c>
      <x:c r="J77" s="181" t="str">
        <x:v>crying_baby</x:v>
      </x:c>
      <x:c r="K77" s="183" t="n">
        <x:v>0.013020833022892475</x:v>
      </x:c>
    </x:row>
    <x:row r="78">
      <x:c r="A78" s="180" t="n">
        <x:v>76</x:v>
      </x:c>
      <x:c r="B78" s="181" t="str">
        <x:v>5-133989-B-42.wav</x:v>
      </x:c>
      <x:c r="C78" s="181" t="str">
        <x:v>siren</x:v>
      </x:c>
      <x:c r="D78" s="181" t="str">
        <x:v>siren</x:v>
      </x:c>
      <x:c r="E78" s="182" t="n">
        <x:v>1</x:v>
      </x:c>
      <x:c r="F78" s="181" t="n">
        <x:v>6</x:v>
      </x:c>
      <x:c r="G78" s="183" t="n">
        <x:v>0.962890625</x:v>
      </x:c>
      <x:c r="H78" s="181" t="str">
        <x:v>crying_baby</x:v>
      </x:c>
      <x:c r="I78" s="183" t="n">
        <x:v>0.02473958395421505</x:v>
      </x:c>
      <x:c r="J78" s="181" t="str">
        <x:v>glass_breaking</x:v>
      </x:c>
      <x:c r="K78" s="183" t="n">
        <x:v>0.005859375</x:v>
      </x:c>
    </x:row>
    <x:row r="79">
      <x:c r="A79" s="180" t="n">
        <x:v>77</x:v>
      </x:c>
      <x:c r="B79" s="181" t="str">
        <x:v>5-150409-A-42.wav</x:v>
      </x:c>
      <x:c r="C79" s="181" t="str">
        <x:v>siren</x:v>
      </x:c>
      <x:c r="D79" s="181" t="str">
        <x:v>siren</x:v>
      </x:c>
      <x:c r="E79" s="182" t="n">
        <x:v>1</x:v>
      </x:c>
      <x:c r="F79" s="181" t="n">
        <x:v>6</x:v>
      </x:c>
      <x:c r="G79" s="183" t="n">
        <x:v>0.8333333134651184</x:v>
      </x:c>
      <x:c r="H79" s="181" t="str">
        <x:v>chainsaw</x:v>
      </x:c>
      <x:c r="I79" s="183" t="n">
        <x:v>0.1276041716337204</x:v>
      </x:c>
      <x:c r="J79" s="181" t="str">
        <x:v>dog</x:v>
      </x:c>
      <x:c r="K79" s="183" t="n">
        <x:v>0.009765625</x:v>
      </x:c>
    </x:row>
    <x:row r="80">
      <x:c r="A80" s="180" t="n">
        <x:v>78</x:v>
      </x:c>
      <x:c r="B80" s="181" t="str">
        <x:v>5-160551-A-42.wav</x:v>
      </x:c>
      <x:c r="C80" s="181" t="str">
        <x:v>siren</x:v>
      </x:c>
      <x:c r="D80" s="181" t="str">
        <x:v>siren</x:v>
      </x:c>
      <x:c r="E80" s="182" t="n">
        <x:v>1</x:v>
      </x:c>
      <x:c r="F80" s="181" t="n">
        <x:v>6</x:v>
      </x:c>
      <x:c r="G80" s="183" t="n">
        <x:v>0.9485676884651184</x:v>
      </x:c>
      <x:c r="H80" s="181" t="str">
        <x:v>chainsaw</x:v>
      </x:c>
      <x:c r="I80" s="183" t="n">
        <x:v>0.02799479104578495</x:v>
      </x:c>
      <x:c r="J80" s="181" t="str">
        <x:v>crackling_fire</x:v>
      </x:c>
      <x:c r="K80" s="183" t="n">
        <x:v>0.014322916977107525</x:v>
      </x:c>
    </x:row>
    <x:row r="81">
      <x:c r="A81" s="184" t="n">
        <x:v>79</x:v>
      </x:c>
      <x:c r="B81" s="185" t="str">
        <x:v>5-184323-A-42.wav</x:v>
      </x:c>
      <x:c r="C81" s="185" t="str">
        <x:v>siren</x:v>
      </x:c>
      <x:c r="D81" s="185" t="str">
        <x:v>siren</x:v>
      </x:c>
      <x:c r="E81" s="186" t="n">
        <x:v>1</x:v>
      </x:c>
      <x:c r="F81" s="185" t="n">
        <x:v>6</x:v>
      </x:c>
      <x:c r="G81" s="187" t="n">
        <x:v>0.9322916865348816</x:v>
      </x:c>
      <x:c r="H81" s="185" t="str">
        <x:v>crying_baby</x:v>
      </x:c>
      <x:c r="I81" s="187" t="n">
        <x:v>0.03515625</x:v>
      </x:c>
      <x:c r="J81" s="185" t="str">
        <x:v>dog</x:v>
      </x:c>
      <x:c r="K81" s="187" t="n">
        <x:v>0.0071614584885537624</x:v>
      </x:c>
    </x:row>
  </x:sheetData>
  <x:conditionalFormatting sqref="A2:K81">
    <x:cfRule type="expression" dxfId="0" priority="1">
      <x:formula>$E2=0</x:formula>
    </x:cfRule>
    <x:cfRule type="expression" dxfId="1" priority="2">
      <x:formula>$E2=1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a2b050736440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78" t="str">
        <x:v>Epoch</x:v>
      </x:c>
      <x:c r="B1" s="179" t="str">
        <x:v>Train accuracy</x:v>
      </x:c>
      <x:c r="C1" s="179" t="str">
        <x:v>Learning rate</x:v>
      </x:c>
      <x:c r="D1" s="179" t="str">
        <x:v>Train loss</x:v>
      </x:c>
      <x:c r="E1" s="179" t="str">
        <x:v>Validation accuracy</x:v>
      </x:c>
      <x:c r="F1" s="179" t="str">
        <x:v>Validation loss</x:v>
      </x:c>
      <x:c r="G1" s="194"/>
      <x:c r="H1" s="194"/>
      <x:c r="I1" s="194"/>
      <x:c r="J1" s="194"/>
      <x:c r="K1" s="194"/>
      <x:c r="L1" s="194"/>
      <x:c r="M1" s="194"/>
      <x:c r="N1" s="194"/>
      <x:c r="O1" s="194"/>
      <x:c r="P1" s="194"/>
    </x:row>
    <x:row r="2">
      <x:c r="A2" s="152" t="n">
        <x:v>1</x:v>
      </x:c>
      <x:c r="B2" s="153" t="n">
        <x:v>0.16795866191387177</x:v>
      </x:c>
      <x:c r="C2" s="190" t="n">
        <x:v>0.0010000000474974513</x:v>
      </x:c>
      <x:c r="D2" s="191" t="n">
        <x:v>2.4281697273254395</x:v>
      </x:c>
      <x:c r="E2" s="191" t="n">
        <x:v>0.3097561001777649</x:v>
      </x:c>
      <x:c r="F2" s="191" t="n">
        <x:v>2.077531576156616</x:v>
      </x:c>
    </x:row>
    <x:row r="3">
      <x:c r="A3" s="152" t="n">
        <x:v>2</x:v>
      </x:c>
      <x:c r="B3" s="153" t="n">
        <x:v>0.35055986046791077</x:v>
      </x:c>
      <x:c r="C3" s="190" t="n">
        <x:v>0.0010000000474974513</x:v>
      </x:c>
      <x:c r="D3" s="191" t="n">
        <x:v>1.9486374855041504</x:v>
      </x:c>
      <x:c r="E3" s="191" t="n">
        <x:v>0.39024388790130615</x:v>
      </x:c>
      <x:c r="F3" s="191" t="n">
        <x:v>1.8146458864212036</x:v>
      </x:c>
    </x:row>
    <x:row r="4">
      <x:c r="A4" s="152" t="n">
        <x:v>3</x:v>
      </x:c>
      <x:c r="B4" s="153" t="n">
        <x:v>0.43841516971588135</x:v>
      </x:c>
      <x:c r="C4" s="190" t="n">
        <x:v>0.0010000000474974513</x:v>
      </x:c>
      <x:c r="D4" s="191" t="n">
        <x:v>1.7035194635391235</x:v>
      </x:c>
      <x:c r="E4" s="191" t="n">
        <x:v>0.43414634466171265</x:v>
      </x:c>
      <x:c r="F4" s="191" t="n">
        <x:v>1.6330405473709106</x:v>
      </x:c>
    </x:row>
    <x:row r="5">
      <x:c r="A5" s="152" t="n">
        <x:v>4</x:v>
      </x:c>
      <x:c r="B5" s="153" t="n">
        <x:v>0.5021533370018005</x:v>
      </x:c>
      <x:c r="C5" s="190" t="n">
        <x:v>0.0010000000474974513</x:v>
      </x:c>
      <x:c r="D5" s="191" t="n">
        <x:v>1.5459585189819336</x:v>
      </x:c>
      <x:c r="E5" s="191" t="n">
        <x:v>0.4878048896789551</x:v>
      </x:c>
      <x:c r="F5" s="191" t="n">
        <x:v>1.5012457370758057</x:v>
      </x:c>
    </x:row>
    <x:row r="6">
      <x:c r="A6" s="152" t="n">
        <x:v>5</x:v>
      </x:c>
      <x:c r="B6" s="153" t="n">
        <x:v>0.5521102547645569</x:v>
      </x:c>
      <x:c r="C6" s="190" t="n">
        <x:v>0.0010000000474974513</x:v>
      </x:c>
      <x:c r="D6" s="191" t="n">
        <x:v>1.4034290313720703</x:v>
      </x:c>
      <x:c r="E6" s="191" t="n">
        <x:v>0.5585365891456604</x:v>
      </x:c>
      <x:c r="F6" s="191" t="n">
        <x:v>1.399497151374817</x:v>
      </x:c>
    </x:row>
    <x:row r="7">
      <x:c r="A7" s="152" t="n">
        <x:v>6</x:v>
      </x:c>
      <x:c r="B7" s="153" t="n">
        <x:v>0.5822566747665405</x:v>
      </x:c>
      <x:c r="C7" s="190" t="n">
        <x:v>0.0010000000474974513</x:v>
      </x:c>
      <x:c r="D7" s="191" t="n">
        <x:v>1.3168286085128784</x:v>
      </x:c>
      <x:c r="E7" s="191" t="n">
        <x:v>0.5975610017776489</x:v>
      </x:c>
      <x:c r="F7" s="191" t="n">
        <x:v>1.3201600313186646</x:v>
      </x:c>
    </x:row>
    <x:row r="8">
      <x:c r="A8" s="152" t="n">
        <x:v>7</x:v>
      </x:c>
      <x:c r="B8" s="153" t="n">
        <x:v>0.6244616508483887</x:v>
      </x:c>
      <x:c r="C8" s="190" t="n">
        <x:v>0.0010000000474974513</x:v>
      </x:c>
      <x:c r="D8" s="191" t="n">
        <x:v>1.2454980611801147</x:v>
      </x:c>
      <x:c r="E8" s="191" t="n">
        <x:v>0.6341463327407837</x:v>
      </x:c>
      <x:c r="F8" s="191" t="n">
        <x:v>1.2539860010147095</x:v>
      </x:c>
    </x:row>
    <x:row r="9">
      <x:c r="A9" s="152" t="n">
        <x:v>8</x:v>
      </x:c>
      <x:c r="B9" s="153" t="n">
        <x:v>0.6459948420524597</x:v>
      </x:c>
      <x:c r="C9" s="190" t="n">
        <x:v>0.0010000000474974513</x:v>
      </x:c>
      <x:c r="D9" s="191" t="n">
        <x:v>1.1606245040893555</x:v>
      </x:c>
      <x:c r="E9" s="191" t="n">
        <x:v>0.6463414430618286</x:v>
      </x:c>
      <x:c r="F9" s="191" t="n">
        <x:v>1.1985316276550293</x:v>
      </x:c>
    </x:row>
    <x:row r="10">
      <x:c r="A10" s="152" t="n">
        <x:v>9</x:v>
      </x:c>
      <x:c r="B10" s="153" t="n">
        <x:v>0.667527973651886</x:v>
      </x:c>
      <x:c r="C10" s="190" t="n">
        <x:v>0.0010000000474974513</x:v>
      </x:c>
      <x:c r="D10" s="191" t="n">
        <x:v>1.112633228302002</x:v>
      </x:c>
      <x:c r="E10" s="191" t="n">
        <x:v>0.6634146571159363</x:v>
      </x:c>
      <x:c r="F10" s="191" t="n">
        <x:v>1.1503931283950806</x:v>
      </x:c>
    </x:row>
    <x:row r="11">
      <x:c r="A11" s="152" t="n">
        <x:v>10</x:v>
      </x:c>
      <x:c r="B11" s="153" t="n">
        <x:v>0.6666666865348816</x:v>
      </x:c>
      <x:c r="C11" s="190" t="n">
        <x:v>0.0010000000474974513</x:v>
      </x:c>
      <x:c r="D11" s="191" t="n">
        <x:v>1.0813615322113037</x:v>
      </x:c>
      <x:c r="E11" s="191" t="n">
        <x:v>0.6682927012443542</x:v>
      </x:c>
      <x:c r="F11" s="191" t="n">
        <x:v>1.1091597080230713</x:v>
      </x:c>
    </x:row>
    <x:row r="12">
      <x:c r="A12" s="152" t="n">
        <x:v>11</x:v>
      </x:c>
      <x:c r="B12" s="153" t="n">
        <x:v>0.6968131065368652</x:v>
      </x:c>
      <x:c r="C12" s="190" t="n">
        <x:v>0.0010000000474974513</x:v>
      </x:c>
      <x:c r="D12" s="191" t="n">
        <x:v>1.0256754159927368</x:v>
      </x:c>
      <x:c r="E12" s="191" t="n">
        <x:v>0.6853658556938171</x:v>
      </x:c>
      <x:c r="F12" s="191" t="n">
        <x:v>1.0734564065933228</x:v>
      </x:c>
    </x:row>
    <x:row r="13">
      <x:c r="A13" s="152" t="n">
        <x:v>12</x:v>
      </x:c>
      <x:c r="B13" s="153" t="n">
        <x:v>0.7019810676574707</x:v>
      </x:c>
      <x:c r="C13" s="190" t="n">
        <x:v>0.0010000000474974513</x:v>
      </x:c>
      <x:c r="D13" s="191" t="n">
        <x:v>0.9980237483978271</x:v>
      </x:c>
      <x:c r="E13" s="191" t="n">
        <x:v>0.6975609660148621</x:v>
      </x:c>
      <x:c r="F13" s="191" t="n">
        <x:v>1.0415587425231934</x:v>
      </x:c>
    </x:row>
    <x:row r="14">
      <x:c r="A14" s="152" t="n">
        <x:v>13</x:v>
      </x:c>
      <x:c r="B14" s="153" t="n">
        <x:v>0.7054263353347778</x:v>
      </x:c>
      <x:c r="C14" s="190" t="n">
        <x:v>0.0010000000474974513</x:v>
      </x:c>
      <x:c r="D14" s="191" t="n">
        <x:v>0.9645190834999084</x:v>
      </x:c>
      <x:c r="E14" s="191" t="n">
        <x:v>0.70243901014328</x:v>
      </x:c>
      <x:c r="F14" s="191" t="n">
        <x:v>1.0131117105484009</x:v>
      </x:c>
    </x:row>
    <x:row r="15">
      <x:c r="A15" s="152" t="n">
        <x:v>14</x:v>
      </x:c>
      <x:c r="B15" s="153" t="n">
        <x:v>0.7329887747764587</x:v>
      </x:c>
      <x:c r="C15" s="190" t="n">
        <x:v>0.0010000000474974513</x:v>
      </x:c>
      <x:c r="D15" s="191" t="n">
        <x:v>0.9301266670227051</x:v>
      </x:c>
      <x:c r="E15" s="191" t="n">
        <x:v>0.7219512462615967</x:v>
      </x:c>
      <x:c r="F15" s="191" t="n">
        <x:v>0.9860192537307739</x:v>
      </x:c>
    </x:row>
    <x:row r="16">
      <x:c r="A16" s="152" t="n">
        <x:v>15</x:v>
      </x:c>
      <x:c r="B16" s="153" t="n">
        <x:v>0.7407407164573669</x:v>
      </x:c>
      <x:c r="C16" s="190" t="n">
        <x:v>0.0010000000474974513</x:v>
      </x:c>
      <x:c r="D16" s="191" t="n">
        <x:v>0.899594783782959</x:v>
      </x:c>
      <x:c r="E16" s="191" t="n">
        <x:v>0.7219512462615967</x:v>
      </x:c>
      <x:c r="F16" s="191" t="n">
        <x:v>0.964421808719635</x:v>
      </x:c>
    </x:row>
    <x:row r="17">
      <x:c r="A17" s="152" t="n">
        <x:v>16</x:v>
      </x:c>
      <x:c r="B17" s="153" t="n">
        <x:v>0.7639965415000916</x:v>
      </x:c>
      <x:c r="C17" s="190" t="n">
        <x:v>0.0010000000474974513</x:v>
      </x:c>
      <x:c r="D17" s="191" t="n">
        <x:v>0.8619433641433716</x:v>
      </x:c>
      <x:c r="E17" s="191" t="n">
        <x:v>0.7170731425285339</x:v>
      </x:c>
      <x:c r="F17" s="191" t="n">
        <x:v>0.944715678691864</x:v>
      </x:c>
    </x:row>
    <x:row r="18">
      <x:c r="A18" s="152" t="n">
        <x:v>17</x:v>
      </x:c>
      <x:c r="B18" s="153" t="n">
        <x:v>0.7579672932624817</x:v>
      </x:c>
      <x:c r="C18" s="190" t="n">
        <x:v>0.0010000000474974513</x:v>
      </x:c>
      <x:c r="D18" s="191" t="n">
        <x:v>0.8451764583587646</x:v>
      </x:c>
      <x:c r="E18" s="191" t="n">
        <x:v>0.7243902683258057</x:v>
      </x:c>
      <x:c r="F18" s="191" t="n">
        <x:v>0.9215417504310608</x:v>
      </x:c>
    </x:row>
    <x:row r="19">
      <x:c r="A19" s="152" t="n">
        <x:v>18</x:v>
      </x:c>
      <x:c r="B19" s="153" t="n">
        <x:v>0.7657192349433899</x:v>
      </x:c>
      <x:c r="C19" s="190" t="n">
        <x:v>0.0010000000474974513</x:v>
      </x:c>
      <x:c r="D19" s="191" t="n">
        <x:v>0.8307079672813416</x:v>
      </x:c>
      <x:c r="E19" s="191" t="n">
        <x:v>0.7341463565826416</x:v>
      </x:c>
      <x:c r="F19" s="191" t="n">
        <x:v>0.9039211869239807</x:v>
      </x:c>
    </x:row>
    <x:row r="20">
      <x:c r="A20" s="152" t="n">
        <x:v>19</x:v>
      </x:c>
      <x:c r="B20" s="153" t="n">
        <x:v>0.776055097579956</x:v>
      </x:c>
      <x:c r="C20" s="190" t="n">
        <x:v>0.0010000000474974513</x:v>
      </x:c>
      <x:c r="D20" s="191" t="n">
        <x:v>0.8136808276176453</x:v>
      </x:c>
      <x:c r="E20" s="191" t="n">
        <x:v>0.7365853786468506</x:v>
      </x:c>
      <x:c r="F20" s="191" t="n">
        <x:v>0.8841454386711121</x:v>
      </x:c>
    </x:row>
    <x:row r="21">
      <x:c r="A21" s="152" t="n">
        <x:v>20</x:v>
      </x:c>
      <x:c r="B21" s="153" t="n">
        <x:v>0.7614125609397888</x:v>
      </x:c>
      <x:c r="C21" s="190" t="n">
        <x:v>0.0010000000474974513</x:v>
      </x:c>
      <x:c r="D21" s="191" t="n">
        <x:v>0.8039004802703857</x:v>
      </x:c>
      <x:c r="E21" s="191" t="n">
        <x:v>0.7487804889678955</x:v>
      </x:c>
      <x:c r="F21" s="191" t="n">
        <x:v>0.8646140694618225</x:v>
      </x:c>
    </x:row>
    <x:row r="22">
      <x:c r="A22" s="152" t="n">
        <x:v>21</x:v>
      </x:c>
      <x:c r="B22" s="153" t="n">
        <x:v>0.779500424861908</x:v>
      </x:c>
      <x:c r="C22" s="190" t="n">
        <x:v>0.0010000000474974513</x:v>
      </x:c>
      <x:c r="D22" s="191" t="n">
        <x:v>0.7809248566627502</x:v>
      </x:c>
      <x:c r="E22" s="191" t="n">
        <x:v>0.7512195110321045</x:v>
      </x:c>
      <x:c r="F22" s="191" t="n">
        <x:v>0.8484900593757629</x:v>
      </x:c>
    </x:row>
    <x:row r="23">
      <x:c r="A23" s="152" t="n">
        <x:v>22</x:v>
      </x:c>
      <x:c r="B23" s="153" t="n">
        <x:v>0.7915589809417725</x:v>
      </x:c>
      <x:c r="C23" s="190" t="n">
        <x:v>0.0010000000474974513</x:v>
      </x:c>
      <x:c r="D23" s="191" t="n">
        <x:v>0.7678489089012146</x:v>
      </x:c>
      <x:c r="E23" s="191" t="n">
        <x:v>0.7414634227752686</x:v>
      </x:c>
      <x:c r="F23" s="191" t="n">
        <x:v>0.8370757102966309</x:v>
      </x:c>
    </x:row>
    <x:row r="24">
      <x:c r="A24" s="152" t="n">
        <x:v>23</x:v>
      </x:c>
      <x:c r="B24" s="153" t="n">
        <x:v>0.8001722693443298</x:v>
      </x:c>
      <x:c r="C24" s="190" t="n">
        <x:v>0.0010000000474974513</x:v>
      </x:c>
      <x:c r="D24" s="191" t="n">
        <x:v>0.740217924118042</x:v>
      </x:c>
      <x:c r="E24" s="191" t="n">
        <x:v>0.7536585330963135</x:v>
      </x:c>
      <x:c r="F24" s="191" t="n">
        <x:v>0.8208449482917786</x:v>
      </x:c>
    </x:row>
    <x:row r="25">
      <x:c r="A25" s="152" t="n">
        <x:v>24</x:v>
      </x:c>
      <x:c r="B25" s="153" t="n">
        <x:v>0.8122308254241943</x:v>
      </x:c>
      <x:c r="C25" s="190" t="n">
        <x:v>0.0010000000474974513</x:v>
      </x:c>
      <x:c r="D25" s="191" t="n">
        <x:v>0.72423255443573</x:v>
      </x:c>
      <x:c r="E25" s="191" t="n">
        <x:v>0.7512195110321045</x:v>
      </x:c>
      <x:c r="F25" s="191" t="n">
        <x:v>0.810321033000946</x:v>
      </x:c>
    </x:row>
    <x:row r="26">
      <x:c r="A26" s="152" t="n">
        <x:v>25</x:v>
      </x:c>
      <x:c r="B26" s="153" t="n">
        <x:v>0.8130921721458435</x:v>
      </x:c>
      <x:c r="C26" s="190" t="n">
        <x:v>0.0010000000474974513</x:v>
      </x:c>
      <x:c r="D26" s="191" t="n">
        <x:v>0.708794116973877</x:v>
      </x:c>
      <x:c r="E26" s="191" t="n">
        <x:v>0.7536585330963135</x:v>
      </x:c>
      <x:c r="F26" s="191" t="n">
        <x:v>0.7973177433013916</x:v>
      </x:c>
    </x:row>
    <x:row r="27">
      <x:c r="A27" s="152" t="n">
        <x:v>26</x:v>
      </x:c>
      <x:c r="B27" s="153" t="n">
        <x:v>0.7984496355056763</x:v>
      </x:c>
      <x:c r="C27" s="190" t="n">
        <x:v>0.0010000000474974513</x:v>
      </x:c>
      <x:c r="D27" s="191" t="n">
        <x:v>0.7031722664833069</x:v>
      </x:c>
      <x:c r="E27" s="191" t="n">
        <x:v>0.7756097316741943</x:v>
      </x:c>
      <x:c r="F27" s="191" t="n">
        <x:v>0.7832329273223877</x:v>
      </x:c>
    </x:row>
    <x:row r="28">
      <x:c r="A28" s="152" t="n">
        <x:v>27</x:v>
      </x:c>
      <x:c r="B28" s="153" t="n">
        <x:v>0.8294573426246643</x:v>
      </x:c>
      <x:c r="C28" s="190" t="n">
        <x:v>0.0010000000474974513</x:v>
      </x:c>
      <x:c r="D28" s="191" t="n">
        <x:v>0.6762964725494385</x:v>
      </x:c>
      <x:c r="E28" s="191" t="n">
        <x:v>0.7560975551605225</x:v>
      </x:c>
      <x:c r="F28" s="191" t="n">
        <x:v>0.7775120139122009</x:v>
      </x:c>
    </x:row>
    <x:row r="29">
      <x:c r="A29" s="152" t="n">
        <x:v>28</x:v>
      </x:c>
      <x:c r="B29" s="153" t="n">
        <x:v>0.8199827671051025</x:v>
      </x:c>
      <x:c r="C29" s="190" t="n">
        <x:v>0.0010000000474974513</x:v>
      </x:c>
      <x:c r="D29" s="191" t="n">
        <x:v>0.6717681884765625</x:v>
      </x:c>
      <x:c r="E29" s="191" t="n">
        <x:v>0.7707316875457764</x:v>
      </x:c>
      <x:c r="F29" s="191" t="n">
        <x:v>0.7639194130897522</x:v>
      </x:c>
    </x:row>
    <x:row r="30">
      <x:c r="A30" s="152" t="n">
        <x:v>29</x:v>
      </x:c>
      <x:c r="B30" s="153" t="n">
        <x:v>0.818260133266449</x:v>
      </x:c>
      <x:c r="C30" s="190" t="n">
        <x:v>0.0010000000474974513</x:v>
      </x:c>
      <x:c r="D30" s="191" t="n">
        <x:v>0.6759729981422424</x:v>
      </x:c>
      <x:c r="E30" s="191" t="n">
        <x:v>0.7707316875457764</x:v>
      </x:c>
      <x:c r="F30" s="191" t="n">
        <x:v>0.7534874677658081</x:v>
      </x:c>
    </x:row>
    <x:row r="31">
      <x:c r="A31" s="152" t="n">
        <x:v>30</x:v>
      </x:c>
      <x:c r="B31" s="153" t="n">
        <x:v>0.8337640166282654</x:v>
      </x:c>
      <x:c r="C31" s="190" t="n">
        <x:v>0.0010000000474974513</x:v>
      </x:c>
      <x:c r="D31" s="191" t="n">
        <x:v>0.6634190082550049</x:v>
      </x:c>
      <x:c r="E31" s="191" t="n">
        <x:v>0.7829268574714661</x:v>
      </x:c>
      <x:c r="F31" s="191" t="n">
        <x:v>0.7389588952064514</x:v>
      </x:c>
    </x:row>
    <x:row r="32">
      <x:c r="A32" s="152" t="n">
        <x:v>31</x:v>
      </x:c>
      <x:c r="B32" s="153" t="n">
        <x:v>0.8415159583091736</x:v>
      </x:c>
      <x:c r="C32" s="190" t="n">
        <x:v>0.0010000000474974513</x:v>
      </x:c>
      <x:c r="D32" s="191" t="n">
        <x:v>0.6315658688545227</x:v>
      </x:c>
      <x:c r="E32" s="191" t="n">
        <x:v>0.7829268574714661</x:v>
      </x:c>
      <x:c r="F32" s="191" t="n">
        <x:v>0.7348259091377258</x:v>
      </x:c>
    </x:row>
    <x:row r="33">
      <x:c r="A33" s="152" t="n">
        <x:v>32</x:v>
      </x:c>
      <x:c r="B33" s="153" t="n">
        <x:v>0.8329026699066162</x:v>
      </x:c>
      <x:c r="C33" s="190" t="n">
        <x:v>0.0010000000474974513</x:v>
      </x:c>
      <x:c r="D33" s="191" t="n">
        <x:v>0.6365959048271179</x:v>
      </x:c>
      <x:c r="E33" s="191" t="n">
        <x:v>0.7829268574714661</x:v>
      </x:c>
      <x:c r="F33" s="191" t="n">
        <x:v>0.7273814678192139</x:v>
      </x:c>
    </x:row>
    <x:row r="34">
      <x:c r="A34" s="152" t="n">
        <x:v>33</x:v>
      </x:c>
      <x:c r="B34" s="153" t="n">
        <x:v>0.8501291871070862</x:v>
      </x:c>
      <x:c r="C34" s="190" t="n">
        <x:v>0.0010000000474974513</x:v>
      </x:c>
      <x:c r="D34" s="191" t="n">
        <x:v>0.6103280782699585</x:v>
      </x:c>
      <x:c r="E34" s="191" t="n">
        <x:v>0.787804901599884</x:v>
      </x:c>
      <x:c r="F34" s="191" t="n">
        <x:v>0.7186244130134583</x:v>
      </x:c>
    </x:row>
    <x:row r="35">
      <x:c r="A35" s="152" t="n">
        <x:v>34</x:v>
      </x:c>
      <x:c r="B35" s="153" t="n">
        <x:v>0.8406546115875244</x:v>
      </x:c>
      <x:c r="C35" s="190" t="n">
        <x:v>0.0010000000474974513</x:v>
      </x:c>
      <x:c r="D35" s="191" t="n">
        <x:v>0.6147421002388</x:v>
      </x:c>
      <x:c r="E35" s="191" t="n">
        <x:v>0.790243923664093</x:v>
      </x:c>
      <x:c r="F35" s="191" t="n">
        <x:v>0.7092139720916748</x:v>
      </x:c>
    </x:row>
    <x:row r="36">
      <x:c r="A36" s="152" t="n">
        <x:v>35</x:v>
      </x:c>
      <x:c r="B36" s="153" t="n">
        <x:v>0.8389319777488708</x:v>
      </x:c>
      <x:c r="C36" s="190" t="n">
        <x:v>0.0010000000474974513</x:v>
      </x:c>
      <x:c r="D36" s="191" t="n">
        <x:v>0.6198649406433105</x:v>
      </x:c>
      <x:c r="E36" s="191" t="n">
        <x:v>0.790243923664093</x:v>
      </x:c>
      <x:c r="F36" s="191" t="n">
        <x:v>0.7001377940177917</x:v>
      </x:c>
    </x:row>
    <x:row r="37">
      <x:c r="A37" s="152" t="n">
        <x:v>36</x:v>
      </x:c>
      <x:c r="B37" s="153" t="n">
        <x:v>0.8570197820663452</x:v>
      </x:c>
      <x:c r="C37" s="190" t="n">
        <x:v>0.0010000000474974513</x:v>
      </x:c>
      <x:c r="D37" s="191" t="n">
        <x:v>0.5986424684524536</x:v>
      </x:c>
      <x:c r="E37" s="191" t="n">
        <x:v>0.790243923664093</x:v>
      </x:c>
      <x:c r="F37" s="191" t="n">
        <x:v>0.6954824924468994</x:v>
      </x:c>
    </x:row>
    <x:row r="38">
      <x:c r="A38" s="152" t="n">
        <x:v>37</x:v>
      </x:c>
      <x:c r="B38" s="153" t="n">
        <x:v>0.8397932648658752</x:v>
      </x:c>
      <x:c r="C38" s="190" t="n">
        <x:v>0.0010000000474974513</x:v>
      </x:c>
      <x:c r="D38" s="191" t="n">
        <x:v>0.5898625254631042</x:v>
      </x:c>
      <x:c r="E38" s="191" t="n">
        <x:v>0.792682945728302</x:v>
      </x:c>
      <x:c r="F38" s="191" t="n">
        <x:v>0.6861150860786438</x:v>
      </x:c>
    </x:row>
    <x:row r="39">
      <x:c r="A39" s="152" t="n">
        <x:v>38</x:v>
      </x:c>
      <x:c r="B39" s="153" t="n">
        <x:v>0.8578811287879944</x:v>
      </x:c>
      <x:c r="C39" s="190" t="n">
        <x:v>0.0010000000474974513</x:v>
      </x:c>
      <x:c r="D39" s="191" t="n">
        <x:v>0.5635730028152466</x:v>
      </x:c>
      <x:c r="E39" s="191" t="n">
        <x:v>0.800000011920929</x:v>
      </x:c>
      <x:c r="F39" s="191" t="n">
        <x:v>0.6777864694595337</x:v>
      </x:c>
    </x:row>
    <x:row r="40">
      <x:c r="A40" s="152" t="n">
        <x:v>39</x:v>
      </x:c>
      <x:c r="B40" s="153" t="n">
        <x:v>0.8587424755096436</x:v>
      </x:c>
      <x:c r="C40" s="190" t="n">
        <x:v>0.0010000000474974513</x:v>
      </x:c>
      <x:c r="D40" s="191" t="n">
        <x:v>0.567276120185852</x:v>
      </x:c>
      <x:c r="E40" s="191" t="n">
        <x:v>0.8121951222419739</x:v>
      </x:c>
      <x:c r="F40" s="191" t="n">
        <x:v>0.6691386103630066</x:v>
      </x:c>
    </x:row>
    <x:row r="41">
      <x:c r="A41" s="152" t="n">
        <x:v>40</x:v>
      </x:c>
      <x:c r="B41" s="153" t="n">
        <x:v>0.8570197820663452</x:v>
      </x:c>
      <x:c r="C41" s="190" t="n">
        <x:v>0.0010000000474974513</x:v>
      </x:c>
      <x:c r="D41" s="191" t="n">
        <x:v>0.5721616744995117</x:v>
      </x:c>
      <x:c r="E41" s="191" t="n">
        <x:v>0.8097561001777649</x:v>
      </x:c>
      <x:c r="F41" s="191" t="n">
        <x:v>0.6642453074455261</x:v>
      </x:c>
    </x:row>
    <x:row r="42">
      <x:c r="A42" s="152" t="n">
        <x:v>41</x:v>
      </x:c>
      <x:c r="B42" s="153" t="n">
        <x:v>0.863910436630249</x:v>
      </x:c>
      <x:c r="C42" s="190" t="n">
        <x:v>0.0010000000474974513</x:v>
      </x:c>
      <x:c r="D42" s="191" t="n">
        <x:v>0.5561596751213074</x:v>
      </x:c>
      <x:c r="E42" s="191" t="n">
        <x:v>0.8121951222419739</x:v>
      </x:c>
      <x:c r="F42" s="191" t="n">
        <x:v>0.6568894386291504</x:v>
      </x:c>
    </x:row>
    <x:row r="43">
      <x:c r="A43" s="152" t="n">
        <x:v>42</x:v>
      </x:c>
      <x:c r="B43" s="153" t="n">
        <x:v>0.8768303394317627</x:v>
      </x:c>
      <x:c r="C43" s="190" t="n">
        <x:v>0.0010000000474974513</x:v>
      </x:c>
      <x:c r="D43" s="191" t="n">
        <x:v>0.5413709282875061</x:v>
      </x:c>
      <x:c r="E43" s="191" t="n">
        <x:v>0.8097561001777649</x:v>
      </x:c>
      <x:c r="F43" s="191" t="n">
        <x:v>0.6492629051208496</x:v>
      </x:c>
    </x:row>
    <x:row r="44">
      <x:c r="A44" s="152" t="n">
        <x:v>43</x:v>
      </x:c>
      <x:c r="B44" s="153" t="n">
        <x:v>0.8535745143890381</x:v>
      </x:c>
      <x:c r="C44" s="190" t="n">
        <x:v>0.0010000000474974513</x:v>
      </x:c>
      <x:c r="D44" s="191" t="n">
        <x:v>0.5481798052787781</x:v>
      </x:c>
      <x:c r="E44" s="191" t="n">
        <x:v>0.8024390339851379</x:v>
      </x:c>
      <x:c r="F44" s="191" t="n">
        <x:v>0.6509078145027161</x:v>
      </x:c>
    </x:row>
    <x:row r="45">
      <x:c r="A45" s="152" t="n">
        <x:v>44</x:v>
      </x:c>
      <x:c r="B45" s="153" t="n">
        <x:v>0.8604651093482971</x:v>
      </x:c>
      <x:c r="C45" s="190" t="n">
        <x:v>0.0010000000474974513</x:v>
      </x:c>
      <x:c r="D45" s="191" t="n">
        <x:v>0.5438621044158936</x:v>
      </x:c>
      <x:c r="E45" s="191" t="n">
        <x:v>0.8170731663703918</x:v>
      </x:c>
      <x:c r="F45" s="191" t="n">
        <x:v>0.6364078521728516</x:v>
      </x:c>
    </x:row>
    <x:row r="46">
      <x:c r="A46" s="152" t="n">
        <x:v>45</x:v>
      </x:c>
      <x:c r="B46" s="153" t="n">
        <x:v>0.8733850121498108</x:v>
      </x:c>
      <x:c r="C46" s="190" t="n">
        <x:v>0.0010000000474974513</x:v>
      </x:c>
      <x:c r="D46" s="191" t="n">
        <x:v>0.5192577242851257</x:v>
      </x:c>
      <x:c r="E46" s="191" t="n">
        <x:v>0.8146341443061829</x:v>
      </x:c>
      <x:c r="F46" s="191" t="n">
        <x:v>0.6328736543655396</x:v>
      </x:c>
    </x:row>
    <x:row r="47">
      <x:c r="A47" s="152" t="n">
        <x:v>46</x:v>
      </x:c>
      <x:c r="B47" s="153" t="n">
        <x:v>0.8604651093482971</x:v>
      </x:c>
      <x:c r="C47" s="190" t="n">
        <x:v>0.0010000000474974513</x:v>
      </x:c>
      <x:c r="D47" s="191" t="n">
        <x:v>0.5311039090156555</x:v>
      </x:c>
      <x:c r="E47" s="191" t="n">
        <x:v>0.8170731663703918</x:v>
      </x:c>
      <x:c r="F47" s="191" t="n">
        <x:v>0.6261644959449768</x:v>
      </x:c>
    </x:row>
    <x:row r="48">
      <x:c r="A48" s="152" t="n">
        <x:v>47</x:v>
      </x:c>
      <x:c r="B48" s="153" t="n">
        <x:v>0.8733850121498108</x:v>
      </x:c>
      <x:c r="C48" s="190" t="n">
        <x:v>0.0010000000474974513</x:v>
      </x:c>
      <x:c r="D48" s="191" t="n">
        <x:v>0.5269703269004822</x:v>
      </x:c>
      <x:c r="E48" s="191" t="n">
        <x:v>0.8146341443061829</x:v>
      </x:c>
      <x:c r="F48" s="191" t="n">
        <x:v>0.6210395693778992</x:v>
      </x:c>
    </x:row>
    <x:row r="49">
      <x:c r="A49" s="152" t="n">
        <x:v>48</x:v>
      </x:c>
      <x:c r="B49" s="153" t="n">
        <x:v>0.8682170510292053</x:v>
      </x:c>
      <x:c r="C49" s="190" t="n">
        <x:v>0.0010000000474974513</x:v>
      </x:c>
      <x:c r="D49" s="191" t="n">
        <x:v>0.515350341796875</x:v>
      </x:c>
      <x:c r="E49" s="191" t="n">
        <x:v>0.8243902325630188</x:v>
      </x:c>
      <x:c r="F49" s="191" t="n">
        <x:v>0.6178237795829773</x:v>
      </x:c>
    </x:row>
    <x:row r="50">
      <x:c r="A50" s="152" t="n">
        <x:v>49</x:v>
      </x:c>
      <x:c r="B50" s="153" t="n">
        <x:v>0.8664944171905518</x:v>
      </x:c>
      <x:c r="C50" s="190" t="n">
        <x:v>0.0010000000474974513</x:v>
      </x:c>
      <x:c r="D50" s="191" t="n">
        <x:v>0.519859254360199</x:v>
      </x:c>
      <x:c r="E50" s="191" t="n">
        <x:v>0.8219512104988098</x:v>
      </x:c>
      <x:c r="F50" s="191" t="n">
        <x:v>0.6109525561332703</x:v>
      </x:c>
    </x:row>
    <x:row r="51">
      <x:c r="A51" s="155" t="n">
        <x:v>50</x:v>
      </x:c>
      <x:c r="B51" s="156" t="n">
        <x:v>0.8794143199920654</x:v>
      </x:c>
      <x:c r="C51" s="192" t="n">
        <x:v>0.0010000000474974513</x:v>
      </x:c>
      <x:c r="D51" s="193" t="n">
        <x:v>0.49007660150527954</x:v>
      </x:c>
      <x:c r="E51" s="193" t="n">
        <x:v>0.8317072987556458</x:v>
      </x:c>
      <x:c r="F51" s="193" t="n">
        <x:v>0.6026198267936707</x:v>
      </x:c>
    </x:row>
  </x:sheetData>
  <x:pageMargins left="0.7" right="0.7" top="0.75" bottom="0.75" header="0.3" footer="0.3"/>
  <x:drawing xmlns:r="http://schemas.openxmlformats.org/officeDocument/2006/relationships" r:id="R542e046cc66a4f4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0" hidden="0" customWidth="1"/>
    <x:col min="3" max="3" width="42" hidden="0" customWidth="1"/>
    <x:col min="4" max="4" width="50" hidden="0" customWidth="1"/>
  </x:cols>
  <x:sheetData>
    <x:row r="1" ht="30" customHeight="1">
      <x:c r="A1" s="109" t="str">
        <x:v>Experiment protocol and provenance</x:v>
      </x:c>
      <x:c r="B1" s="110"/>
      <x:c r="C1" s="110"/>
      <x:c r="D1" s="110"/>
    </x:row>
    <x:row r="2">
      <x:c r="A2" s="110"/>
      <x:c r="B2" s="110"/>
      <x:c r="C2" s="110"/>
      <x:c r="D2" s="110"/>
    </x:row>
    <x:row r="3">
      <x:c r="A3" s="199" t="str">
        <x:v>Field</x:v>
      </x:c>
      <x:c r="B3" s="200" t="str">
        <x:v>Value</x:v>
      </x:c>
      <x:c r="C3" s="200" t="str">
        <x:v>Purpose</x:v>
      </x:c>
      <x:c r="D3" s="200" t="str">
        <x:v>Source</x:v>
      </x:c>
    </x:row>
    <x:row r="4" ht="15" hidden="0" customHeight="1">
      <x:c r="A4" s="201" t="str">
        <x:v>Experiment ID</x:v>
      </x:c>
      <x:c r="B4" s="202" t="str">
        <x:v>USEFUL10-YAMNET256-FOLD5-001</x:v>
      </x:c>
      <x:c r="C4" s="202" t="str">
        <x:v>Stable identifier for this offline evaluation</x:v>
      </x:c>
      <x:c r="D4" s="202" t="str"/>
    </x:row>
    <x:row r="5" ht="15" hidden="0" customHeight="1">
      <x:c r="A5" s="201" t="str">
        <x:v>Architecture</x:v>
      </x:c>
      <x:c r="B5" s="202" t="str">
        <x:v>YAMNet-256 transfer learning</x:v>
      </x:c>
      <x:c r="C5" s="202" t="str">
        <x:v>Small YAMNet transfer-learning candidate</x:v>
      </x:c>
      <x:c r="D5" s="202" t="str">
        <x:v>https://github.com/STMicroelectronics/stm32ai-modelzoo</x:v>
      </x:c>
    </x:row>
    <x:row r="6" ht="15" hidden="0" customHeight="1">
      <x:c r="A6" s="201" t="str">
        <x:v>Class count</x:v>
      </x:c>
      <x:c r="B6" s="202" t="n">
        <x:v>10</x:v>
      </x:c>
      <x:c r="C6" s="202" t="str">
        <x:v>Limited scope for controlled correct/wrong ratios</x:v>
      </x:c>
      <x:c r="D6" s="202" t="str"/>
    </x:row>
    <x:row r="7" ht="24" hidden="0" customHeight="1">
      <x:c r="A7" s="201" t="str">
        <x:v>Class order</x:v>
      </x:c>
      <x:c r="B7" s="202" t="str">
        <x:v>chainsaw, clapping, coughing, crackling_fire, crying_baby, dog, door_wood_knock, footsteps, glass_breaking, siren</x:v>
      </x:c>
      <x:c r="C7" s="202" t="str">
        <x:v>Must match firmware output order</x:v>
      </x:c>
      <x:c r="D7" s="202" t="str"/>
    </x:row>
    <x:row r="8" ht="15" hidden="0" customHeight="1">
      <x:c r="A8" s="201" t="str">
        <x:v>Dataset</x:v>
      </x:c>
      <x:c r="B8" s="202" t="str">
        <x:v>ESC-50</x:v>
      </x:c>
      <x:c r="C8" s="202" t="str">
        <x:v>Source audio dataset</x:v>
      </x:c>
      <x:c r="D8" s="202" t="str">
        <x:v>https://github.com/karolpiczak/ESC-50</x:v>
      </x:c>
    </x:row>
    <x:row r="9" ht="15" hidden="0" customHeight="1">
      <x:c r="A9" s="201" t="str">
        <x:v>Train split</x:v>
      </x:c>
      <x:c r="B9" s="202" t="str">
        <x:v>Folds 1–3: 240 clips</x:v>
      </x:c>
      <x:c r="C9" s="202" t="str">
        <x:v>Model fitting only</x:v>
      </x:c>
      <x:c r="D9" s="202" t="str"/>
    </x:row>
    <x:row r="10" ht="15" hidden="0" customHeight="1">
      <x:c r="A10" s="201" t="str">
        <x:v>Validation split</x:v>
      </x:c>
      <x:c r="B10" s="202" t="str">
        <x:v>Fold 4: 80 clips</x:v>
      </x:c>
      <x:c r="C10" s="202" t="str">
        <x:v>Model selection during training</x:v>
      </x:c>
      <x:c r="D10" s="202" t="str"/>
    </x:row>
    <x:row r="11" ht="15" hidden="0" customHeight="1">
      <x:c r="A11" s="201" t="str">
        <x:v>Held-out test split</x:v>
      </x:c>
      <x:c r="B11" s="202" t="str">
        <x:v>Fold 5: 80 clips</x:v>
      </x:c>
      <x:c r="C11" s="202" t="str">
        <x:v>Final offline evaluation only</x:v>
      </x:c>
      <x:c r="D11" s="202" t="str"/>
    </x:row>
    <x:row r="12" ht="15" hidden="0" customHeight="1">
      <x:c r="A12" s="201" t="str">
        <x:v>Test CSV SHA-256</x:v>
      </x:c>
      <x:c r="B12" s="202" t="str">
        <x:v>7d2d8e57c2e3870015fee4d54c554445357dd8bde678b0bd4d9df6d889e1c48a</x:v>
      </x:c>
      <x:c r="C12" s="202" t="str">
        <x:v>Verifies exact held-out split</x:v>
      </x:c>
      <x:c r="D12" s="202" t="str"/>
    </x:row>
    <x:row r="13" ht="15" hidden="0" customHeight="1">
      <x:c r="A13" s="201" t="str">
        <x:v>Model SHA-256</x:v>
      </x:c>
      <x:c r="B13" s="202" t="str">
        <x:v>979fd950929c50af84e18bafbd99683a3f27da89d4cfb6b9acae2e9f656f70f8</x:v>
      </x:c>
      <x:c r="C13" s="202" t="str">
        <x:v>Verifies exact TFLite artifact</x:v>
      </x:c>
      <x:c r="D13" s="202" t="str"/>
    </x:row>
    <x:row r="14" ht="15" hidden="0" customHeight="1">
      <x:c r="A14" s="201" t="str">
        <x:v>Input tensor</x:v>
      </x:c>
      <x:c r="B14" s="202" t="str">
        <x:v>int8 [-1, 64, 96, 1]</x:v>
      </x:c>
      <x:c r="C14" s="202" t="str">
        <x:v>MCU-compatible mel-spectrogram input</x:v>
      </x:c>
      <x:c r="D14" s="202" t="str"/>
    </x:row>
    <x:row r="15" ht="15" hidden="0" customHeight="1">
      <x:c r="A15" s="201" t="str">
        <x:v>Input quantization</x:v>
      </x:c>
      <x:c r="B15" s="202" t="str">
        <x:v>scale=0.0748816505074501; zero-point=56</x:v>
      </x:c>
      <x:c r="C15" s="202" t="str">
        <x:v>Reproduces host and MCU input conversion</x:v>
      </x:c>
      <x:c r="D15" s="202" t="str"/>
    </x:row>
    <x:row r="16" ht="15" hidden="0" customHeight="1">
      <x:c r="A16" s="201" t="str">
        <x:v>Output tensor</x:v>
      </x:c>
      <x:c r="B16" s="202" t="str">
        <x:v>float32 [-1, 10]</x:v>
      </x:c>
      <x:c r="C16" s="202" t="str">
        <x:v>Ten softmax class scores</x:v>
      </x:c>
      <x:c r="D16" s="202" t="str"/>
    </x:row>
    <x:row r="17" ht="15" hidden="0" customHeight="1">
      <x:c r="A17" s="201" t="str">
        <x:v>TensorFlow</x:v>
      </x:c>
      <x:c r="B17" s="202" t="str">
        <x:v>2.18.0</x:v>
      </x:c>
      <x:c r="C17" s="202" t="str">
        <x:v>Training/evaluation runtime</x:v>
      </x:c>
      <x:c r="D17" s="202" t="str"/>
    </x:row>
    <x:row r="18" ht="15" hidden="0" customHeight="1">
      <x:c r="A18" s="201" t="str">
        <x:v>ST model-zoo services</x:v>
      </x:c>
      <x:c r="B18" s="202" t="str">
        <x:v>commit 0f6210ed5156126b782e1c43249063a477484b20</x:v>
      </x:c>
      <x:c r="C18" s="202" t="str">
        <x:v>Reproducible preprocessing/training code</x:v>
      </x:c>
      <x:c r="D18" s="202" t="str">
        <x:v>https://github.com/STMicroelectronics/stm32ai-modelzoo-services</x:v>
      </x:c>
    </x:row>
    <x:row r="19" ht="15" hidden="0" customHeight="1">
      <x:c r="A19" s="201" t="str">
        <x:v>Evaluation rule</x:v>
      </x:c>
      <x:c r="B19" s="202" t="str">
        <x:v>Top-1 clip prediction from mean patch scores</x:v>
      </x:c>
      <x:c r="C19" s="202" t="str">
        <x:v>Correct/wrong ratio and confusion matrix</x:v>
      </x:c>
      <x:c r="D19" s="202" t="str"/>
    </x:row>
    <x:row r="20" ht="24" hidden="0" customHeight="1">
      <x:c r="A20" s="203" t="str">
        <x:v>Hardware evaluation</x:v>
      </x:c>
      <x:c r="B20" s="204" t="str">
        <x:v>Not yet performed</x:v>
      </x:c>
      <x:c r="C20" s="204" t="str">
        <x:v>Must be recorded separately with distance and playback volume</x:v>
      </x:c>
      <x:c r="D20" s="204" t="str"/>
    </x:row>
  </x:sheetData>
  <x:mergeCells>
    <x:mergeCell ref="A1:D1"/>
  </x:mergeCells>
  <x:pageMargins left="0.7" right="0.7" top="0.75" bottom="0.75" header="0.3" footer="0.3"/>
</x:worksheet>
</file>