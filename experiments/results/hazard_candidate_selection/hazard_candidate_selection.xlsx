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c75cf8d37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Audit" sheetId="1" r:id="R29db5daa2c5f4419"/>
    <x:sheet xmlns:r="http://schemas.openxmlformats.org/officeDocument/2006/relationships" name="Prelim Metrics" sheetId="2" r:id="R45e2e6b7c8b34db1"/>
    <x:sheet xmlns:r="http://schemas.openxmlformats.org/officeDocument/2006/relationships" name="Similarity" sheetId="3" r:id="R27e7a4bff50b4538"/>
    <x:sheet xmlns:r="http://schemas.openxmlformats.org/officeDocument/2006/relationships" name="Confusion" sheetId="4" r:id="Rc3abd0bcc61946a1"/>
    <x:sheet xmlns:r="http://schemas.openxmlformats.org/officeDocument/2006/relationships" name="Expanded 7" sheetId="5" r:id="R918ef8eef09e4e2c"/>
    <x:sheet xmlns:r="http://schemas.openxmlformats.org/officeDocument/2006/relationships" name="Overview" sheetId="6" r:id="R9e96c0ac326745a7"/>
    <x:sheet xmlns:r="http://schemas.openxmlformats.org/officeDocument/2006/relationships" name="Scoring" sheetId="7" r:id="Rb69dfbfb30214d17"/>
    <x:sheet xmlns:r="http://schemas.openxmlformats.org/officeDocument/2006/relationships" name="Playback Trials" sheetId="8" r:id="R3c67f44187224b5b"/>
    <x:sheet xmlns:r="http://schemas.openxmlformats.org/officeDocument/2006/relationships" name="Protocol" sheetId="9" r:id="R650c71bd6ecb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0"/>
    <x:numFmt numFmtId="203" formatCode="0"/>
    <x:numFmt numFmtId="204" formatCode="0%"/>
    <x:numFmt numFmtId="205" formatCode="yyyy-mm-dd hh:mm:ss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0243E"/>
      <x:name val="Aptos"/>
    </x:font>
    <x:font>
      <x:b/>
      <x:sz val="18"/>
      <x:color rgb="FFFFFFFF"/>
      <x:name val="Carlito"/>
    </x:font>
    <x:font>
      <x:sz val="11"/>
      <x:color rgb="FF6B4600"/>
      <x:name val="Carlito"/>
    </x:font>
    <x:font>
      <x:b/>
      <x:sz val="11"/>
      <x:color rgb="FF10243E"/>
      <x:name val="Carlito"/>
    </x:font>
    <x:font>
      <x:sz val="11"/>
      <x:color rgb="FF10243E"/>
      <x:name val="Carlito"/>
    </x:font>
    <x:font>
      <x:b/>
      <x:sz val="11"/>
      <x:color rgb="FF6B46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5AA8"/>
      </x:patternFill>
    </x:fill>
    <x:fill>
      <x:patternFill patternType="solid">
        <x:fgColor rgb="FFEAF2FA"/>
      </x:patternFill>
    </x:fill>
    <x:fill>
      <x:patternFill patternType="solid">
        <x:fgColor rgb="FF10243E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FFFFFF"/>
      </x:patternFill>
    </x:fill>
  </x:fills>
  <x:borders count="26">
    <x:border/>
    <x:border/>
    <x:border>
      <x:left style="thin">
        <x:color rgb="FF10243E"/>
      </x:left>
      <x:top style="thin">
        <x:color rgb="FF10243E"/>
      </x:top>
      <x:bottom style="thin">
        <x:color rgb="FF10243E"/>
      </x:bottom>
    </x:border>
    <x:border>
      <x:top style="thin">
        <x:color rgb="FF10243E"/>
      </x:top>
      <x:bottom style="thin">
        <x:color rgb="FF10243E"/>
      </x:bottom>
    </x:border>
    <x:border>
      <x:right style="thin">
        <x:color rgb="FF10243E"/>
      </x:right>
      <x:top style="thin">
        <x:color rgb="FF10243E"/>
      </x:top>
      <x:bottom style="thin">
        <x:color rgb="FF10243E"/>
      </x:bottom>
    </x:border>
    <x:border>
      <x:left style="thin">
        <x:color rgb="FF10243E"/>
      </x:left>
      <x:top style="thin">
        <x:color rgb="FF10243E"/>
      </x:top>
      <x:bottom style="thin">
        <x:color rgb="FF10243E"/>
      </x:bottom>
    </x:border>
    <x:border>
      <x:top style="thin">
        <x:color rgb="FF10243E"/>
      </x:top>
      <x:bottom style="thin">
        <x:color rgb="FF10243E"/>
      </x:bottom>
    </x:border>
    <x:border>
      <x:right style="thin">
        <x:color rgb="FF10243E"/>
      </x:right>
      <x:top style="thin">
        <x:color rgb="FF10243E"/>
      </x:top>
      <x:bottom style="thin">
        <x:color rgb="FF10243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5" fontId="0" fillId="0" borderId="8" xfId="0" applyNumberFormat="1" applyFont="1" applyFill="1" applyBorder="1"/>
    <x:xf numFmtId="205" fontId="0" fillId="0" borderId="9" xfId="0" applyNumberFormat="1" applyFont="1" applyFill="1" applyBorder="1"/>
    <x:xf numFmtId="205" fontId="0" fillId="0" borderId="10" xfId="0" applyNumberFormat="1" applyFont="1" applyFill="1" applyBorder="1"/>
    <x:xf numFmtId="205" fontId="0" fillId="0" borderId="11" xfId="0" applyNumberFormat="1" applyFont="1" applyFill="1" applyBorder="1"/>
    <x:xf numFmtId="205" fontId="0" fillId="0" borderId="12" xfId="0" applyNumberFormat="1" applyFont="1" applyFill="1" applyBorder="1"/>
    <x:xf numFmtId="205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5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5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5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5" fontId="0" fillId="0" borderId="12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5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7" fillId="3" borderId="14" xfId="0" applyNumberFormat="1" applyFont="1" applyFill="1" applyBorder="1"/>
    <x:xf numFmtId="0" fontId="8" fillId="7" borderId="15" xfId="0" applyNumberFormat="1" applyFont="1" applyFill="1" applyBorder="1"/>
    <x:xf numFmtId="0" fontId="7" fillId="3" borderId="16" xfId="0" applyNumberFormat="1" applyFont="1" applyFill="1" applyBorder="1"/>
    <x:xf numFmtId="0" fontId="8" fillId="7" borderId="17" xfId="0" applyNumberFormat="1" applyFont="1" applyFill="1" applyBorder="1"/>
    <x:xf numFmtId="0" fontId="7" fillId="3" borderId="18" xfId="0" applyNumberFormat="1" applyFont="1" applyFill="1" applyBorder="1"/>
    <x:xf numFmtId="0" fontId="8" fillId="7" borderId="19" xfId="0" applyNumberFormat="1" applyFont="1" applyFill="1" applyBorder="1"/>
    <x:xf numFmtId="0" fontId="7" fillId="3" borderId="20" xfId="0" applyNumberFormat="1" applyFont="1" applyFill="1" applyBorder="1"/>
    <x:xf numFmtId="0" fontId="8" fillId="7" borderId="21" xfId="0" applyNumberFormat="1" applyFont="1" applyFill="1" applyBorder="1"/>
    <x:xf numFmtId="0" fontId="7" fillId="3" borderId="22" xfId="0" applyNumberFormat="1" applyFont="1" applyFill="1" applyBorder="1"/>
    <x:xf numFmtId="0" fontId="8" fillId="7" borderId="23" xfId="0" applyNumberFormat="1" applyFont="1" applyFill="1" applyBorder="1"/>
    <x:xf numFmtId="0" fontId="7" fillId="3" borderId="24" xfId="0" applyNumberFormat="1" applyFont="1" applyFill="1" applyBorder="1"/>
    <x:xf numFmtId="0" fontId="8" fillId="7" borderId="25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7" fillId="3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8A4B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90642e306447a" /><Relationship Type="http://schemas.openxmlformats.org/officeDocument/2006/relationships/theme" Target="/xl/theme/theme1.xml" Id="R5617121833064d37" /><Relationship Type="http://schemas.openxmlformats.org/officeDocument/2006/relationships/sharedStrings" Target="/xl/sharedStrings.xml" Id="R92593007384a461d" /><Relationship Type="http://schemas.openxmlformats.org/officeDocument/2006/relationships/worksheet" Target="/xl/worksheets/sheet1.xml" Id="R29db5daa2c5f4419" /><Relationship Type="http://schemas.openxmlformats.org/officeDocument/2006/relationships/worksheet" Target="/xl/worksheets/sheet2.xml" Id="R45e2e6b7c8b34db1" /><Relationship Type="http://schemas.openxmlformats.org/officeDocument/2006/relationships/worksheet" Target="/xl/worksheets/sheet3.xml" Id="R27e7a4bff50b4538" /><Relationship Type="http://schemas.openxmlformats.org/officeDocument/2006/relationships/worksheet" Target="/xl/worksheets/sheet4.xml" Id="Rc3abd0bcc61946a1" /><Relationship Type="http://schemas.openxmlformats.org/officeDocument/2006/relationships/worksheet" Target="/xl/worksheets/sheet5.xml" Id="R918ef8eef09e4e2c" /><Relationship Type="http://schemas.openxmlformats.org/officeDocument/2006/relationships/worksheet" Target="/xl/worksheets/sheet6.xml" Id="R9e96c0ac326745a7" /><Relationship Type="http://schemas.openxmlformats.org/officeDocument/2006/relationships/worksheet" Target="/xl/worksheets/sheet7.xml" Id="Rb69dfbfb30214d17" /><Relationship Type="http://schemas.openxmlformats.org/officeDocument/2006/relationships/worksheet" Target="/xl/worksheets/sheet8.xml" Id="R3c67f44187224b5b" /><Relationship Type="http://schemas.openxmlformats.org/officeDocument/2006/relationships/worksheet" Target="/xl/worksheets/sheet9.xml" Id="R650c71bd6ecb40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3fa7712aae48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Provisional final-five validation recall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Validation recall</c:v>
          </c:tx>
          <c:cat>
            <c:strRef>
              <c:f>'Overview'!$A$11:$A$15</c:f>
              <c:strCache>
                <c:ptCount val="0"/>
              </c:strCache>
            </c:strRef>
          </c:cat>
          <c:val>
            <c:numRef>
              <c:f>'Overview'!$B$11:$B$15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fa7712aae48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AuditTable" displayName="CandidateAuditTable" ref="A1:K9" headerRowCount="1" totalsRowCount="0" totalsRowShown="0">
  <x:tableColumns count="11">
    <x:tableColumn id="1" name="candidate_class"/>
    <x:tableColumn id="2" name="acoustic_family"/>
    <x:tableColumn id="3" name="esc50_train"/>
    <x:tableColumn id="4" name="esc50_validation"/>
    <x:tableColumn id="5" name="esc50_reserved_test"/>
    <x:tableColumn id="6" name="fsd50k_train"/>
    <x:tableColumn id="7" name="fsd50k_validation"/>
    <x:tableColumn id="8" name="fsd50k_reserved_test"/>
    <x:tableColumn id="9" name="audio_files_available"/>
    <x:tableColumn id="10" name="catalog_records"/>
    <x:tableColumn id="11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limMetricsTable" displayName="PrelimMetricsTable" ref="A1:F6" headerRowCount="1" totalsRowCount="0" totalsRowShown="0">
  <x:tableColumns count="6">
    <x:tableColumn id="1" name="candidate_class"/>
    <x:tableColumn id="2" name="precision"/>
    <x:tableColumn id="3" name="recall"/>
    <x:tableColumn id="4" name="f1_score"/>
    <x:tableColumn id="5" name="validation_support"/>
    <x:tableColumn id="6" name="corr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andedMetricsTable" displayName="ExpandedMetricsTable" ref="A1:F8" headerRowCount="1" totalsRowCount="0" totalsRowShown="0">
  <x:tableColumns count="6">
    <x:tableColumn id="1" name="candidate_class"/>
    <x:tableColumn id="2" name="precision"/>
    <x:tableColumn id="3" name="recall"/>
    <x:tableColumn id="4" name="f1_score"/>
    <x:tableColumn id="5" name="validation_support"/>
    <x:tableColumn id="6" name="corre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backTrialsTable" displayName="PlaybackTrialsTable" ref="A3:N103" headerRowCount="1" totalsRowCount="0" totalsRowShown="0">
  <x:tableColumns count="14">
    <x:tableColumn id="1" name="trial_id"/>
    <x:tableColumn id="2" name="recorded_at"/>
    <x:tableColumn id="3" name="candidate_class"/>
    <x:tableColumn id="4" name="clip_id"/>
    <x:tableColumn id="5" name="expected_class"/>
    <x:tableColumn id="6" name="distance_m"/>
    <x:tableColumn id="7" name="noise_condition"/>
    <x:tableColumn id="8" name="speaker_volume_pct"/>
    <x:tableColumn id="9" name="detected"/>
    <x:tableColumn id="10" name="predicted_class"/>
    <x:tableColumn id="11" name="peak_confidence"/>
    <x:tableColumn id="12" name="latency_ms"/>
    <x:tableColumn id="13" name="alert_triggere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6fc37b7e245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b9b3703add4a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270dd3c9b0d40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71cb6f41d6444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c0938caa353d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21" hidden="0" customWidth="1"/>
  </x:cols>
  <x:sheetData>
    <x:row r="1" ht="44" hidden="0" customHeight="1">
      <x:c r="A1" s="24" t="str">
        <x:v>candidate_class</x:v>
      </x:c>
      <x:c r="B1" s="25" t="str">
        <x:v>acoustic_family</x:v>
      </x:c>
      <x:c r="C1" s="25" t="str">
        <x:v>esc50_train</x:v>
      </x:c>
      <x:c r="D1" s="25" t="str">
        <x:v>esc50_validation</x:v>
      </x:c>
      <x:c r="E1" s="25" t="str">
        <x:v>esc50_reserved_test</x:v>
      </x:c>
      <x:c r="F1" s="25" t="str">
        <x:v>fsd50k_train</x:v>
      </x:c>
      <x:c r="G1" s="25" t="str">
        <x:v>fsd50k_validation</x:v>
      </x:c>
      <x:c r="H1" s="25" t="str">
        <x:v>fsd50k_reserved_test</x:v>
      </x:c>
      <x:c r="I1" s="25" t="str">
        <x:v>audio_files_available</x:v>
      </x:c>
      <x:c r="J1" s="25" t="str">
        <x:v>catalog_records</x:v>
      </x:c>
      <x:c r="K1" s="26" t="str">
        <x:v>source_status</x:v>
      </x:c>
    </x:row>
    <x:row r="2" ht="15" hidden="0" customHeight="1">
      <x:c r="A2" s="32" t="str">
        <x:v>siren</x:v>
      </x:c>
      <x:c r="B2" s="32" t="str">
        <x:v>modulated_tonal</x:v>
      </x:c>
      <x:c r="C2" s="34" t="n">
        <x:v>24</x:v>
      </x:c>
      <x:c r="D2" s="34" t="n">
        <x:v>8</x:v>
      </x:c>
      <x:c r="E2" s="34" t="n">
        <x:v>8</x:v>
      </x:c>
      <x:c r="F2" s="34" t="n">
        <x:v>65</x:v>
      </x:c>
      <x:c r="G2" s="34" t="n">
        <x:v>12</x:v>
      </x:c>
      <x:c r="H2" s="34" t="n">
        <x:v>55</x:v>
      </x:c>
      <x:c r="I2" s="34" t="n">
        <x:v>117</x:v>
      </x:c>
      <x:c r="J2" s="34" t="n">
        <x:v>172</x:v>
      </x:c>
      <x:c r="K2" s="32" t="str">
        <x:v>available</x:v>
      </x:c>
    </x:row>
    <x:row r="3" ht="15" hidden="0" customHeight="1">
      <x:c r="A3" s="32" t="str">
        <x:v>chainsaw</x:v>
      </x:c>
      <x:c r="B3" s="32" t="str">
        <x:v>continuous_mechanical</x:v>
      </x:c>
      <x:c r="C3" s="34" t="n">
        <x:v>24</x:v>
      </x:c>
      <x:c r="D3" s="34" t="n">
        <x:v>8</x:v>
      </x:c>
      <x:c r="E3" s="34" t="n">
        <x:v>8</x:v>
      </x:c>
      <x:c r="F3" s="34" t="n">
        <x:v>0</x:v>
      </x:c>
      <x:c r="G3" s="34" t="n">
        <x:v>0</x:v>
      </x:c>
      <x:c r="H3" s="34" t="n">
        <x:v>0</x:v>
      </x:c>
      <x:c r="I3" s="34" t="n">
        <x:v>40</x:v>
      </x:c>
      <x:c r="J3" s="34" t="n">
        <x:v>40</x:v>
      </x:c>
      <x:c r="K3" s="32" t="str">
        <x:v>available</x:v>
      </x:c>
    </x:row>
    <x:row r="4" ht="15" hidden="0" customHeight="1">
      <x:c r="A4" s="32" t="str">
        <x:v>glass_breaking</x:v>
      </x:c>
      <x:c r="B4" s="32" t="str">
        <x:v>brittle_transient</x:v>
      </x:c>
      <x:c r="C4" s="34" t="n">
        <x:v>24</x:v>
      </x:c>
      <x:c r="D4" s="34" t="n">
        <x:v>8</x:v>
      </x:c>
      <x:c r="E4" s="34" t="n">
        <x:v>8</x:v>
      </x:c>
      <x:c r="F4" s="34" t="n">
        <x:v>858</x:v>
      </x:c>
      <x:c r="G4" s="34" t="n">
        <x:v>116</x:v>
      </x:c>
      <x:c r="H4" s="34" t="n">
        <x:v>267</x:v>
      </x:c>
      <x:c r="I4" s="34" t="n">
        <x:v>1014</x:v>
      </x:c>
      <x:c r="J4" s="34" t="n">
        <x:v>1281</x:v>
      </x:c>
      <x:c r="K4" s="32" t="str">
        <x:v>available</x:v>
      </x:c>
    </x:row>
    <x:row r="5" ht="15" hidden="0" customHeight="1">
      <x:c r="A5" s="32" t="str">
        <x:v>screaming</x:v>
      </x:c>
      <x:c r="B5" s="32" t="str">
        <x:v>voiced_distress</x:v>
      </x:c>
      <x:c r="C5" s="34" t="n">
        <x:v>0</x:v>
      </x:c>
      <x:c r="D5" s="34" t="n">
        <x:v>0</x:v>
      </x:c>
      <x:c r="E5" s="34" t="n">
        <x:v>0</x:v>
      </x:c>
      <x:c r="F5" s="34" t="n">
        <x:v>214</x:v>
      </x:c>
      <x:c r="G5" s="34" t="n">
        <x:v>40</x:v>
      </x:c>
      <x:c r="H5" s="34" t="n">
        <x:v>123</x:v>
      </x:c>
      <x:c r="I5" s="34" t="n">
        <x:v>254</x:v>
      </x:c>
      <x:c r="J5" s="34" t="n">
        <x:v>377</x:v>
      </x:c>
      <x:c r="K5" s="32" t="str">
        <x:v>available</x:v>
      </x:c>
    </x:row>
    <x:row r="6" ht="15" hidden="0" customHeight="1">
      <x:c r="A6" s="32" t="str">
        <x:v>gunshot_gunfire</x:v>
      </x:c>
      <x:c r="B6" s="32" t="str">
        <x:v>explosive_impulse</x:v>
      </x:c>
      <x:c r="C6" s="34" t="n">
        <x:v>0</x:v>
      </x:c>
      <x:c r="D6" s="34" t="n">
        <x:v>0</x:v>
      </x:c>
      <x:c r="E6" s="34" t="n">
        <x:v>0</x:v>
      </x:c>
      <x:c r="F6" s="34" t="n">
        <x:v>294</x:v>
      </x:c>
      <x:c r="G6" s="34" t="n">
        <x:v>54</x:v>
      </x:c>
      <x:c r="H6" s="34" t="n">
        <x:v>134</x:v>
      </x:c>
      <x:c r="I6" s="34" t="n">
        <x:v>348</x:v>
      </x:c>
      <x:c r="J6" s="34" t="n">
        <x:v>482</x:v>
      </x:c>
      <x:c r="K6" s="32" t="str">
        <x:v>available</x:v>
      </x:c>
    </x:row>
    <x:row r="7" ht="15" hidden="0" customHeight="1">
      <x:c r="A7" s="32" t="str">
        <x:v>fire_alarm</x:v>
      </x:c>
      <x:c r="B7" s="32" t="str">
        <x:v>periodic_alarm</x:v>
      </x:c>
      <x:c r="C7" s="34" t="n">
        <x:v>0</x:v>
      </x:c>
      <x:c r="D7" s="34" t="n">
        <x:v>0</x:v>
      </x:c>
      <x:c r="E7" s="34" t="n">
        <x:v>0</x:v>
      </x:c>
      <x:c r="F7" s="34" t="n">
        <x:v>0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2" t="str">
        <x:v>missing_public_source</x:v>
      </x:c>
    </x:row>
    <x:row r="8" ht="15" hidden="0" customHeight="1">
      <x:c r="A8" s="32" t="str">
        <x:v>thunderstorm</x:v>
      </x:c>
      <x:c r="B8" s="32" t="str">
        <x:v>environmental_rumble</x:v>
      </x:c>
      <x:c r="C8" s="34" t="n">
        <x:v>24</x:v>
      </x:c>
      <x:c r="D8" s="34" t="n">
        <x:v>8</x:v>
      </x:c>
      <x:c r="E8" s="34" t="n">
        <x:v>8</x:v>
      </x:c>
      <x:c r="F8" s="34" t="n">
        <x:v>403</x:v>
      </x:c>
      <x:c r="G8" s="34" t="n">
        <x:v>66</x:v>
      </x:c>
      <x:c r="H8" s="34" t="n">
        <x:v>132</x:v>
      </x:c>
      <x:c r="I8" s="34" t="n">
        <x:v>509</x:v>
      </x:c>
      <x:c r="J8" s="34" t="n">
        <x:v>641</x:v>
      </x:c>
      <x:c r="K8" s="32" t="str">
        <x:v>available</x:v>
      </x:c>
    </x:row>
    <x:row r="9" ht="15" hidden="0" customHeight="1">
      <x:c r="A9" s="32" t="str">
        <x:v>crackling_fire</x:v>
      </x:c>
      <x:c r="B9" s="32" t="str">
        <x:v>stochastic_crackle</x:v>
      </x:c>
      <x:c r="C9" s="34" t="n">
        <x:v>24</x:v>
      </x:c>
      <x:c r="D9" s="34" t="n">
        <x:v>8</x:v>
      </x:c>
      <x:c r="E9" s="34" t="n">
        <x:v>8</x:v>
      </x:c>
      <x:c r="F9" s="34" t="n">
        <x:v>357</x:v>
      </x:c>
      <x:c r="G9" s="34" t="n">
        <x:v>28</x:v>
      </x:c>
      <x:c r="H9" s="34" t="n">
        <x:v>124</x:v>
      </x:c>
      <x:c r="I9" s="34" t="n">
        <x:v>425</x:v>
      </x:c>
      <x:c r="J9" s="34" t="n">
        <x:v>549</x:v>
      </x:c>
      <x:c r="K9" s="32" t="str">
        <x:v>available</x:v>
      </x:c>
    </x:row>
  </x:sheetData>
  <x:conditionalFormatting sqref="K2:K9">
    <x:cfRule type="containsText" dxfId="0" priority="1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ebf6fc37b7e245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</x:cols>
  <x:sheetData>
    <x:row r="1" ht="38" hidden="0" customHeight="1">
      <x:c r="A1" s="24" t="str">
        <x:v>candidate_class</x:v>
      </x:c>
      <x:c r="B1" s="25" t="str">
        <x:v>precision</x:v>
      </x:c>
      <x:c r="C1" s="25" t="str">
        <x:v>recall</x:v>
      </x:c>
      <x:c r="D1" s="25" t="str">
        <x:v>f1_score</x:v>
      </x:c>
      <x:c r="E1" s="25" t="str">
        <x:v>validation_support</x:v>
      </x:c>
      <x:c r="F1" s="26" t="str">
        <x:v>correct</x:v>
      </x:c>
    </x:row>
    <x:row r="2" ht="15" hidden="0" customHeight="1">
      <x:c r="A2" s="27" t="str">
        <x:v>chainsaw</x:v>
      </x:c>
      <x:c r="B2" s="36" t="n">
        <x:v>1</x:v>
      </x:c>
      <x:c r="C2" s="36" t="n">
        <x:v>1</x:v>
      </x:c>
      <x:c r="D2" s="36" t="n">
        <x:v>1</x:v>
      </x:c>
      <x:c r="E2" s="27" t="n">
        <x:v>4</x:v>
      </x:c>
      <x:c r="F2" s="27" t="n">
        <x:v>4</x:v>
      </x:c>
    </x:row>
    <x:row r="3" ht="15" hidden="0" customHeight="1">
      <x:c r="A3" s="27" t="str">
        <x:v>gunshot_gunfire</x:v>
      </x:c>
      <x:c r="B3" s="36" t="n">
        <x:v>1</x:v>
      </x:c>
      <x:c r="C3" s="36" t="n">
        <x:v>0.9814814814814815</x:v>
      </x:c>
      <x:c r="D3" s="36" t="n">
        <x:v>0.9906542056074766</x:v>
      </x:c>
      <x:c r="E3" s="27" t="n">
        <x:v>54</x:v>
      </x:c>
      <x:c r="F3" s="27" t="n">
        <x:v>53</x:v>
      </x:c>
    </x:row>
    <x:row r="4" ht="15" hidden="0" customHeight="1">
      <x:c r="A4" s="27" t="str">
        <x:v>screaming</x:v>
      </x:c>
      <x:c r="B4" s="36" t="n">
        <x:v>0.9736842105263158</x:v>
      </x:c>
      <x:c r="C4" s="36" t="n">
        <x:v>0.925</x:v>
      </x:c>
      <x:c r="D4" s="36" t="n">
        <x:v>0.9487179487179487</x:v>
      </x:c>
      <x:c r="E4" s="27" t="n">
        <x:v>40</x:v>
      </x:c>
      <x:c r="F4" s="27" t="n">
        <x:v>37</x:v>
      </x:c>
    </x:row>
    <x:row r="5" ht="15" hidden="0" customHeight="1">
      <x:c r="A5" s="27" t="str">
        <x:v>siren</x:v>
      </x:c>
      <x:c r="B5" s="36" t="n">
        <x:v>0.85</x:v>
      </x:c>
      <x:c r="C5" s="36" t="n">
        <x:v>0.9444444444444444</x:v>
      </x:c>
      <x:c r="D5" s="36" t="n">
        <x:v>0.8947368421052632</x:v>
      </x:c>
      <x:c r="E5" s="27" t="n">
        <x:v>18</x:v>
      </x:c>
      <x:c r="F5" s="27" t="n">
        <x:v>17</x:v>
      </x:c>
    </x:row>
    <x:row r="6" ht="15" hidden="0" customHeight="1">
      <x:c r="A6" s="27" t="str">
        <x:v>thunderstorm</x:v>
      </x:c>
      <x:c r="B6" s="36" t="n">
        <x:v>0.9836065573770492</x:v>
      </x:c>
      <x:c r="C6" s="36" t="n">
        <x:v>1</x:v>
      </x:c>
      <x:c r="D6" s="36" t="n">
        <x:v>0.9917355371900827</x:v>
      </x:c>
      <x:c r="E6" s="27" t="n">
        <x:v>60</x:v>
      </x:c>
      <x:c r="F6" s="27" t="n">
        <x:v>60</x:v>
      </x:c>
    </x:row>
  </x:sheetData>
  <x:conditionalFormatting sqref="B1:D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b9b3703add4a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5" hidden="0" customHeight="1">
      <x:c r="A1" s="24" t="str">
        <x:v>candidate_class</x:v>
      </x:c>
      <x:c r="B1" s="25" t="str">
        <x:v>chainsaw</x:v>
      </x:c>
      <x:c r="C1" s="25" t="str">
        <x:v>gunshot_gunfire</x:v>
      </x:c>
      <x:c r="D1" s="25" t="str">
        <x:v>screaming</x:v>
      </x:c>
      <x:c r="E1" s="25" t="str">
        <x:v>siren</x:v>
      </x:c>
      <x:c r="F1" s="26" t="str">
        <x:v>thunderstorm</x:v>
      </x:c>
    </x:row>
    <x:row r="2" ht="15" hidden="0" customHeight="1">
      <x:c r="A2" s="40" t="str">
        <x:v>chainsaw</x:v>
      </x:c>
      <x:c r="B2" s="38" t="n">
        <x:v>0.9999997615814209</x:v>
      </x:c>
      <x:c r="C2" s="38" t="n">
        <x:v>0.8562568426132202</x:v>
      </x:c>
      <x:c r="D2" s="38" t="n">
        <x:v>0.8805108666419983</x:v>
      </x:c>
      <x:c r="E2" s="38" t="n">
        <x:v>0.8673032522201538</x:v>
      </x:c>
      <x:c r="F2" s="38" t="n">
        <x:v>0.8771116733551025</x:v>
      </x:c>
    </x:row>
    <x:row r="3" ht="15" hidden="0" customHeight="1">
      <x:c r="A3" s="40" t="str">
        <x:v>gunshot_gunfire</x:v>
      </x:c>
      <x:c r="B3" s="38" t="n">
        <x:v>0.8562568426132202</x:v>
      </x:c>
      <x:c r="C3" s="38" t="n">
        <x:v>1.0000007152557373</x:v>
      </x:c>
      <x:c r="D3" s="38" t="n">
        <x:v>0.8413650989532471</x:v>
      </x:c>
      <x:c r="E3" s="38" t="n">
        <x:v>0.8092042207717896</x:v>
      </x:c>
      <x:c r="F3" s="38" t="n">
        <x:v>0.9280657768249512</x:v>
      </x:c>
    </x:row>
    <x:row r="4" ht="15" hidden="0" customHeight="1">
      <x:c r="A4" s="40" t="str">
        <x:v>screaming</x:v>
      </x:c>
      <x:c r="B4" s="38" t="n">
        <x:v>0.8805108666419983</x:v>
      </x:c>
      <x:c r="C4" s="38" t="n">
        <x:v>0.8413650989532471</x:v>
      </x:c>
      <x:c r="D4" s="38" t="n">
        <x:v>0.9999998211860657</x:v>
      </x:c>
      <x:c r="E4" s="38" t="n">
        <x:v>0.9763551950454712</x:v>
      </x:c>
      <x:c r="F4" s="38" t="n">
        <x:v>0.8099071979522705</x:v>
      </x:c>
    </x:row>
    <x:row r="5" ht="15" hidden="0" customHeight="1">
      <x:c r="A5" s="40" t="str">
        <x:v>siren</x:v>
      </x:c>
      <x:c r="B5" s="38" t="n">
        <x:v>0.8673032522201538</x:v>
      </x:c>
      <x:c r="C5" s="38" t="n">
        <x:v>0.8092042207717896</x:v>
      </x:c>
      <x:c r="D5" s="38" t="n">
        <x:v>0.9763551950454712</x:v>
      </x:c>
      <x:c r="E5" s="38" t="n">
        <x:v>1.0000004768371582</x:v>
      </x:c>
      <x:c r="F5" s="38" t="n">
        <x:v>0.8240309357643127</x:v>
      </x:c>
    </x:row>
    <x:row r="6" ht="15" hidden="0" customHeight="1">
      <x:c r="A6" s="40" t="str">
        <x:v>thunderstorm</x:v>
      </x:c>
      <x:c r="B6" s="38" t="n">
        <x:v>0.8771116733551025</x:v>
      </x:c>
      <x:c r="C6" s="38" t="n">
        <x:v>0.9280657768249512</x:v>
      </x:c>
      <x:c r="D6" s="38" t="n">
        <x:v>0.8099071979522705</x:v>
      </x:c>
      <x:c r="E6" s="38" t="n">
        <x:v>0.8240309357643127</x:v>
      </x:c>
      <x:c r="F6" s="38" t="n">
        <x:v>1.0000001192092896</x:v>
      </x:c>
    </x:row>
  </x:sheetData>
  <x:conditionalFormatting sqref="B2:F6">
    <x:cfRule type="colorScale" priority="1">
      <x:colorScale>
        <x:cfvo type="min"/>
        <x:cfvo type="percentile" val="50"/>
        <x:cfvo type="max"/>
        <x:color rgb="FFE8F5E9"/>
        <x:color rgb="FFFFE082"/>
        <x:color rgb="FFEF535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5" hidden="0" customHeight="1">
      <x:c r="A1" s="24" t="str">
        <x:v>actual_class</x:v>
      </x:c>
      <x:c r="B1" s="25" t="str">
        <x:v>chainsaw</x:v>
      </x:c>
      <x:c r="C1" s="25" t="str">
        <x:v>gunshot_gunfire</x:v>
      </x:c>
      <x:c r="D1" s="25" t="str">
        <x:v>screaming</x:v>
      </x:c>
      <x:c r="E1" s="25" t="str">
        <x:v>siren</x:v>
      </x:c>
      <x:c r="F1" s="26" t="str">
        <x:v>thunderstorm</x:v>
      </x:c>
    </x:row>
    <x:row r="2" ht="15" hidden="0" customHeight="1">
      <x:c r="A2" s="46" t="str">
        <x:v>chainsaw</x:v>
      </x:c>
      <x:c r="B2" s="42" t="n">
        <x:v>4</x:v>
      </x:c>
      <x:c r="C2" s="42" t="n">
        <x:v>0</x:v>
      </x:c>
      <x:c r="D2" s="42" t="n">
        <x:v>0</x:v>
      </x:c>
      <x:c r="E2" s="42" t="n">
        <x:v>0</x:v>
      </x:c>
      <x:c r="F2" s="42" t="n">
        <x:v>0</x:v>
      </x:c>
    </x:row>
    <x:row r="3" ht="15" hidden="0" customHeight="1">
      <x:c r="A3" s="46" t="str">
        <x:v>gunshot_gunfire</x:v>
      </x:c>
      <x:c r="B3" s="42" t="n">
        <x:v>0</x:v>
      </x:c>
      <x:c r="C3" s="42" t="n">
        <x:v>53</x:v>
      </x:c>
      <x:c r="D3" s="42" t="n">
        <x:v>0</x:v>
      </x:c>
      <x:c r="E3" s="42" t="n">
        <x:v>0</x:v>
      </x:c>
      <x:c r="F3" s="42" t="n">
        <x:v>1</x:v>
      </x:c>
    </x:row>
    <x:row r="4" ht="15" hidden="0" customHeight="1">
      <x:c r="A4" s="46" t="str">
        <x:v>screaming</x:v>
      </x:c>
      <x:c r="B4" s="42" t="n">
        <x:v>0</x:v>
      </x:c>
      <x:c r="C4" s="42" t="n">
        <x:v>0</x:v>
      </x:c>
      <x:c r="D4" s="42" t="n">
        <x:v>37</x:v>
      </x:c>
      <x:c r="E4" s="42" t="n">
        <x:v>3</x:v>
      </x:c>
      <x:c r="F4" s="42" t="n">
        <x:v>0</x:v>
      </x:c>
    </x:row>
    <x:row r="5" ht="15" hidden="0" customHeight="1">
      <x:c r="A5" s="46" t="str">
        <x:v>siren</x:v>
      </x:c>
      <x:c r="B5" s="42" t="n">
        <x:v>0</x:v>
      </x:c>
      <x:c r="C5" s="42" t="n">
        <x:v>0</x:v>
      </x:c>
      <x:c r="D5" s="42" t="n">
        <x:v>1</x:v>
      </x:c>
      <x:c r="E5" s="42" t="n">
        <x:v>17</x:v>
      </x:c>
      <x:c r="F5" s="42" t="n">
        <x:v>0</x:v>
      </x:c>
    </x:row>
    <x:row r="6" ht="15" hidden="0" customHeight="1">
      <x:c r="A6" s="46" t="str">
        <x:v>thunderstorm</x:v>
      </x:c>
      <x:c r="B6" s="42" t="n">
        <x:v>0</x:v>
      </x:c>
      <x:c r="C6" s="42" t="n">
        <x:v>0</x:v>
      </x:c>
      <x:c r="D6" s="42" t="n">
        <x:v>0</x:v>
      </x:c>
      <x:c r="E6" s="42" t="n">
        <x:v>0</x:v>
      </x:c>
      <x:c r="F6" s="42" t="n">
        <x:v>60</x:v>
      </x:c>
    </x:row>
  </x:sheetData>
  <x:conditionalFormatting sqref="B2:F6">
    <x:cfRule type="colorScale" priority="1">
      <x:colorScale>
        <x:cfvo type="min"/>
        <x:cfvo type="percentile" val="50"/>
        <x:cfvo type="max"/>
        <x:color rgb="FFFFFFFF"/>
        <x:color rgb="FF9CC2E5"/>
        <x:color rgb="FF1E5AA8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</x:cols>
  <x:sheetData>
    <x:row r="1" ht="15" hidden="0" customHeight="1">
      <x:c r="A1" s="24" t="str">
        <x:v>candidate_class</x:v>
      </x:c>
      <x:c r="B1" s="25" t="str">
        <x:v>precision</x:v>
      </x:c>
      <x:c r="C1" s="25" t="str">
        <x:v>recall</x:v>
      </x:c>
      <x:c r="D1" s="25" t="str">
        <x:v>f1_score</x:v>
      </x:c>
      <x:c r="E1" s="25" t="str">
        <x:v>validation_support</x:v>
      </x:c>
      <x:c r="F1" s="26" t="str">
        <x:v>correct</x:v>
      </x:c>
    </x:row>
    <x:row r="2" ht="15" hidden="0" customHeight="1">
      <x:c r="A2" s="27" t="str">
        <x:v>chainsaw</x:v>
      </x:c>
      <x:c r="B2" s="36" t="n">
        <x:v>1</x:v>
      </x:c>
      <x:c r="C2" s="36" t="n">
        <x:v>0.75</x:v>
      </x:c>
      <x:c r="D2" s="36" t="n">
        <x:v>0.8571428571428571</x:v>
      </x:c>
      <x:c r="E2" s="27" t="n">
        <x:v>4</x:v>
      </x:c>
      <x:c r="F2" s="27" t="n">
        <x:v>3</x:v>
      </x:c>
    </x:row>
    <x:row r="3" ht="15" hidden="0" customHeight="1">
      <x:c r="A3" s="27" t="str">
        <x:v>crackling_fire</x:v>
      </x:c>
      <x:c r="B3" s="36" t="n">
        <x:v>0.6923076923076923</x:v>
      </x:c>
      <x:c r="C3" s="36" t="n">
        <x:v>0.7941176470588235</x:v>
      </x:c>
      <x:c r="D3" s="36" t="n">
        <x:v>0.7397260273972602</x:v>
      </x:c>
      <x:c r="E3" s="27" t="n">
        <x:v>34</x:v>
      </x:c>
      <x:c r="F3" s="27" t="n">
        <x:v>27</x:v>
      </x:c>
    </x:row>
    <x:row r="4" ht="15" hidden="0" customHeight="1">
      <x:c r="A4" s="27" t="str">
        <x:v>glass_breaking</x:v>
      </x:c>
      <x:c r="B4" s="36" t="n">
        <x:v>0.9148936170212766</x:v>
      </x:c>
      <x:c r="C4" s="36" t="n">
        <x:v>0.7166666666666667</x:v>
      </x:c>
      <x:c r="D4" s="36" t="n">
        <x:v>0.8037383177570093</x:v>
      </x:c>
      <x:c r="E4" s="27" t="n">
        <x:v>60</x:v>
      </x:c>
      <x:c r="F4" s="27" t="n">
        <x:v>43</x:v>
      </x:c>
    </x:row>
    <x:row r="5" ht="15" hidden="0" customHeight="1">
      <x:c r="A5" s="27" t="str">
        <x:v>gunshot_gunfire</x:v>
      </x:c>
      <x:c r="B5" s="36" t="n">
        <x:v>0.8793103448275862</x:v>
      </x:c>
      <x:c r="C5" s="36" t="n">
        <x:v>0.9444444444444444</x:v>
      </x:c>
      <x:c r="D5" s="36" t="n">
        <x:v>0.9107142857142857</x:v>
      </x:c>
      <x:c r="E5" s="27" t="n">
        <x:v>54</x:v>
      </x:c>
      <x:c r="F5" s="27" t="n">
        <x:v>51</x:v>
      </x:c>
    </x:row>
    <x:row r="6" ht="15" hidden="0" customHeight="1">
      <x:c r="A6" s="27" t="str">
        <x:v>screaming</x:v>
      </x:c>
      <x:c r="B6" s="36" t="n">
        <x:v>0.925</x:v>
      </x:c>
      <x:c r="C6" s="36" t="n">
        <x:v>0.9487179487179487</x:v>
      </x:c>
      <x:c r="D6" s="36" t="n">
        <x:v>0.9367088607594937</x:v>
      </x:c>
      <x:c r="E6" s="27" t="n">
        <x:v>39</x:v>
      </x:c>
      <x:c r="F6" s="27" t="n">
        <x:v>37</x:v>
      </x:c>
    </x:row>
    <x:row r="7" ht="15" hidden="0" customHeight="1">
      <x:c r="A7" s="27" t="str">
        <x:v>siren</x:v>
      </x:c>
      <x:c r="B7" s="36" t="n">
        <x:v>0.8888888888888888</x:v>
      </x:c>
      <x:c r="C7" s="36" t="n">
        <x:v>0.8888888888888888</x:v>
      </x:c>
      <x:c r="D7" s="36" t="n">
        <x:v>0.8888888888888888</x:v>
      </x:c>
      <x:c r="E7" s="27" t="n">
        <x:v>18</x:v>
      </x:c>
      <x:c r="F7" s="27" t="n">
        <x:v>16</x:v>
      </x:c>
    </x:row>
    <x:row r="8" ht="15" hidden="0" customHeight="1">
      <x:c r="A8" s="27" t="str">
        <x:v>thunderstorm</x:v>
      </x:c>
      <x:c r="B8" s="36" t="n">
        <x:v>0.921875</x:v>
      </x:c>
      <x:c r="C8" s="36" t="n">
        <x:v>0.9833333333333333</x:v>
      </x:c>
      <x:c r="D8" s="36" t="n">
        <x:v>0.9516129032258065</x:v>
      </x:c>
      <x:c r="E8" s="27" t="n">
        <x:v>60</x:v>
      </x:c>
      <x:c r="F8" s="27" t="n">
        <x:v>59</x:v>
      </x:c>
    </x:row>
  </x:sheetData>
  <x:conditionalFormatting sqref="B2:D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270dd3c9b0d40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2" t="str">
        <x:v>STM32N6 Hazard Candidate Selection</x:v>
      </x:c>
      <x:c r="B1" s="52" t="str">
        <x:v>STM32N6 Hazard Candidate Selection</x:v>
      </x:c>
      <x:c r="C1" s="52" t="str">
        <x:v>STM32N6 Hazard Candidate Selection</x:v>
      </x:c>
      <x:c r="D1" s="52" t="str">
        <x:v>STM32N6 Hazard Candidate Selection</x:v>
      </x:c>
      <x:c r="E1" s="52" t="str">
        <x:v>STM32N6 Hazard Candidate Selection</x:v>
      </x:c>
      <x:c r="F1" s="52" t="str">
        <x:v>STM32N6 Hazard Candidate Selection</x:v>
      </x:c>
      <x:c r="G1" s="52" t="str">
        <x:v>STM32N6 Hazard Candidate Selection</x:v>
      </x:c>
      <x:c r="H1" s="52" t="str">
        <x:v>STM32N6 Hazard Candidate Selection</x:v>
      </x:c>
    </x:row>
    <x:row r="3" ht="15" hidden="0" customHeight="1">
      <x:c r="A3" s="142" t="str">
        <x:v>Current status</x:v>
      </x:c>
      <x:c r="B3" s="143" t="str">
        <x:v>Hazard-5 flashed; normal boot validation pending</x:v>
      </x:c>
      <x:c r="C3" s="56"/>
      <x:c r="D3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3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3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3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3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4" ht="15" hidden="0" customHeight="1">
      <x:c r="A4" s="144" t="str">
        <x:v>Candidate pool</x:v>
      </x:c>
      <x:c r="B4" s="145" t="n">
        <x:f>COUNTA('Candidate Audit'!$A$2:$A$9)</x:f>
        <x:v>8</x:v>
      </x:c>
      <x:c r="C4" s="56"/>
      <x:c r="D4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4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4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4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4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5" ht="15" hidden="0" customHeight="1">
      <x:c r="A5" s="144" t="str">
        <x:v>Target final hazards</x:v>
      </x:c>
      <x:c r="B5" s="145" t="n">
        <x:v>5</x:v>
      </x:c>
      <x:c r="C5" s="56"/>
      <x:c r="D5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5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5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5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5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6" ht="15" hidden="0" customHeight="1">
      <x:c r="A6" s="144" t="str">
        <x:v>Catalog records</x:v>
      </x:c>
      <x:c r="B6" s="145" t="n">
        <x:f>SUM('Candidate Audit'!$J$2:$J$9)</x:f>
        <x:v>3542</x:v>
      </x:c>
      <x:c r="C6" s="56"/>
      <x:c r="D6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6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6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6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6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7" ht="15" hidden="0" customHeight="1">
      <x:c r="A7" s="144" t="str">
        <x:v>Local candidate audio files</x:v>
      </x:c>
      <x:c r="B7" s="145" t="n">
        <x:f>SUM('Candidate Audit'!$I$2:$I$9)</x:f>
        <x:v>2707</x:v>
      </x:c>
      <x:c r="C7" s="56"/>
      <x:c r="D7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7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7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7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7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8" ht="15" hidden="0" customHeight="1">
      <x:c r="A8" s="146" t="str">
        <x:v>Reserved-test clips used</x:v>
      </x:c>
      <x:c r="B8" s="147" t="n">
        <x:v>0</x:v>
      </x:c>
      <x:c r="C8" s="56"/>
      <x:c r="D8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E8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F8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G8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  <x:c r="H8" s="140" t="str">
        <x:v>Deployment finding: the five-class int8 YAMNet-256 reached 95.60% development-validation clip accuracy with no clip-level quantization loss. Neural-ART uses 148,417 B weights and 147,456 B activations. Application and weights passed board read-back verification; reserved test data remains untouched.</x:v>
      </x:c>
    </x:row>
    <x:row r="9" ht="15" hidden="0" customHeight="1">
      <x:c r="A9" s="56"/>
      <x:c r="B9" s="56"/>
      <x:c r="C9" s="56"/>
      <x:c r="D9" s="56"/>
      <x:c r="E9" s="56"/>
      <x:c r="F9" s="56"/>
      <x:c r="G9" s="56"/>
      <x:c r="H9" s="56"/>
    </x:row>
    <x:row r="10" ht="15" hidden="0" customHeight="1">
      <x:c r="A10" s="18" t="str">
        <x:v>Candidate</x:v>
      </x:c>
      <x:c r="B10" s="20" t="str">
        <x:v>Validation recall</x:v>
      </x:c>
      <x:c r="C10" s="56"/>
      <x:c r="D10" s="56"/>
      <x:c r="E10" s="56"/>
      <x:c r="F10" s="56"/>
      <x:c r="G10" s="56"/>
      <x:c r="H10" s="56"/>
    </x:row>
    <x:row r="11" ht="15" hidden="0" customHeight="1">
      <x:c r="A11" s="56" t="str">
        <x:f>'Prelim Metrics'!A2</x:f>
        <x:v>chainsaw</x:v>
      </x:c>
      <x:c r="B11" s="148" t="n">
        <x:f>'Prelim Metrics'!C2</x:f>
        <x:v>1</x:v>
      </x:c>
      <x:c r="C11" s="56"/>
      <x:c r="D11" s="56"/>
      <x:c r="E11" s="56"/>
      <x:c r="F11" s="56"/>
      <x:c r="G11" s="56"/>
      <x:c r="H11" s="56"/>
    </x:row>
    <x:row r="12" ht="15" hidden="0" customHeight="1">
      <x:c r="A12" s="56" t="str">
        <x:f>'Prelim Metrics'!A3</x:f>
        <x:v>gunshot_gunfire</x:v>
      </x:c>
      <x:c r="B12" s="148" t="n">
        <x:f>'Prelim Metrics'!C3</x:f>
        <x:v>0.9814814814814815</x:v>
      </x:c>
      <x:c r="C12" s="56"/>
      <x:c r="D12" s="56"/>
      <x:c r="E12" s="56"/>
      <x:c r="F12" s="56"/>
      <x:c r="G12" s="56"/>
      <x:c r="H12" s="56"/>
    </x:row>
    <x:row r="13" ht="15" hidden="0" customHeight="1">
      <x:c r="A13" s="56" t="str">
        <x:f>'Prelim Metrics'!A4</x:f>
        <x:v>screaming</x:v>
      </x:c>
      <x:c r="B13" s="148" t="n">
        <x:f>'Prelim Metrics'!C4</x:f>
        <x:v>0.925</x:v>
      </x:c>
      <x:c r="C13" s="56"/>
      <x:c r="D13" s="56"/>
      <x:c r="E13" s="56"/>
      <x:c r="F13" s="56"/>
      <x:c r="G13" s="56"/>
      <x:c r="H13" s="56"/>
    </x:row>
    <x:row r="14" ht="15" hidden="0" customHeight="1">
      <x:c r="A14" s="56" t="str">
        <x:f>'Prelim Metrics'!A5</x:f>
        <x:v>siren</x:v>
      </x:c>
      <x:c r="B14" s="148" t="n">
        <x:f>'Prelim Metrics'!C5</x:f>
        <x:v>0.9444444444444444</x:v>
      </x:c>
      <x:c r="C14" s="56"/>
      <x:c r="D14" s="56"/>
      <x:c r="E14" s="56"/>
      <x:c r="F14" s="56"/>
      <x:c r="G14" s="56"/>
      <x:c r="H14" s="56"/>
    </x:row>
    <x:row r="15" ht="15" hidden="0" customHeight="1">
      <x:c r="A15" s="56" t="str">
        <x:f>'Prelim Metrics'!A6</x:f>
        <x:v>thunderstorm</x:v>
      </x:c>
      <x:c r="B15" s="148" t="n">
        <x:f>'Prelim Metrics'!C6</x:f>
        <x:v>1</x:v>
      </x:c>
      <x:c r="C15" s="56"/>
      <x:c r="D15" s="56"/>
      <x:c r="E15" s="56"/>
      <x:c r="F15" s="56"/>
      <x:c r="G15" s="56"/>
      <x:c r="H15" s="56"/>
    </x:row>
    <x:row r="16" ht="15" hidden="0" customHeight="1">
      <x:c r="A16" s="56" t="str">
        <x:v>Macro average</x:v>
      </x:c>
      <x:c r="B16" s="148" t="n">
        <x:f>AVERAGE(B11:B15)</x:f>
        <x:v>0.9701851851851853</x:v>
      </x:c>
      <x:c r="C16" s="56"/>
      <x:c r="D16" s="56"/>
      <x:c r="E16" s="56"/>
      <x:c r="F16" s="56"/>
      <x:c r="G16" s="56"/>
      <x:c r="H16" s="56"/>
    </x:row>
    <x:row r="17" ht="15" hidden="0" customHeight="1">
      <x:c r="A17" s="56"/>
      <x:c r="B17" s="56"/>
      <x:c r="C17" s="56"/>
      <x:c r="D17" s="56"/>
      <x:c r="E17" s="56"/>
      <x:c r="F17" s="56"/>
      <x:c r="G17" s="56"/>
      <x:c r="H17" s="56"/>
    </x:row>
    <x:row r="18" ht="15" hidden="0" customHeight="1">
      <x:c r="A18" s="18" t="str">
        <x:v>Next blocking input</x:v>
      </x:c>
      <x:c r="B18" s="20" t="str">
        <x:v>Why it is needed</x:v>
      </x:c>
      <x:c r="C18" s="56"/>
      <x:c r="D18" s="56"/>
      <x:c r="E18" s="56"/>
      <x:c r="F18" s="56"/>
      <x:c r="G18" s="56"/>
      <x:c r="H18" s="56"/>
    </x:row>
    <x:row r="19" ht="26.399999618530273" hidden="0" customHeight="1">
      <x:c r="A19" s="56" t="str">
        <x:v>Normal boot</x:v>
      </x:c>
      <x:c r="B19" s="56" t="str">
        <x:v>Confirms the signed Hazard-5 application starts through the existing FSBL</x:v>
      </x:c>
      <x:c r="C19" s="56"/>
      <x:c r="D19" s="56"/>
      <x:c r="E19" s="56"/>
      <x:c r="F19" s="56"/>
      <x:c r="G19" s="56"/>
      <x:c r="H19" s="56"/>
    </x:row>
    <x:row r="20" ht="15" hidden="0" customHeight="1">
      <x:c r="A20" s="56" t="str">
        <x:v>LCD and UART smoke check</x:v>
      </x:c>
      <x:c r="B20" s="56" t="str">
        <x:v>Confirms the model/UI class order and continuous inference</x:v>
      </x:c>
      <x:c r="C20" s="56"/>
      <x:c r="D20" s="56"/>
      <x:c r="E20" s="56"/>
      <x:c r="F20" s="56"/>
      <x:c r="G20" s="56"/>
      <x:c r="H20" s="56"/>
    </x:row>
    <x:row r="21" ht="15" hidden="0" customHeight="1">
      <x:c r="A21" s="56" t="str">
        <x:v>Fixed playback setup</x:v>
      </x:c>
      <x:c r="B21" s="56" t="str">
        <x:v>Measures speaker-to-board reliability and hard negatives</x:v>
      </x:c>
      <x:c r="C21" s="56"/>
      <x:c r="D21" s="56"/>
      <x:c r="E21" s="56"/>
      <x:c r="F21" s="56"/>
      <x:c r="G21" s="56"/>
      <x:c r="H21" s="56"/>
    </x:row>
    <x:row r="22" ht="15" hidden="0" customHeight="1">
      <x:c r="A22" s="56" t="str">
        <x:v>User action now</x:v>
      </x:c>
      <x:c r="B22" s="56" t="str">
        <x:v>Return BOOT1 to normal boot and power-cycle or reset</x:v>
      </x:c>
      <x:c r="C22" s="56"/>
      <x:c r="D22" s="56"/>
      <x:c r="E22" s="56"/>
      <x:c r="F22" s="56"/>
      <x:c r="G22" s="56"/>
      <x:c r="H22" s="56"/>
    </x:row>
    <x:row r="23" ht="26.399999618530273" hidden="0" customHeight="1">
      <x:c r="A23" s="56" t="str">
        <x:v>After boot</x:v>
      </x:c>
      <x:c r="B23" s="56" t="str">
        <x:v>Report the LCD state; prompted playback follows only after smoke validation</x:v>
      </x:c>
      <x:c r="C23" s="56"/>
      <x:c r="D23" s="56"/>
      <x:c r="E23" s="56"/>
      <x:c r="F23" s="56"/>
      <x:c r="G23" s="56"/>
      <x:c r="H23" s="56"/>
    </x:row>
  </x:sheetData>
  <x:mergeCells>
    <x:mergeCell ref="A1:H1"/>
    <x:mergeCell ref="D3:H8"/>
  </x:mergeCells>
  <x:pageMargins left="0.7" right="0.7" top="0.75" bottom="0.75" header="0.3" footer="0.3"/>
  <x:drawing xmlns:r="http://schemas.openxmlformats.org/officeDocument/2006/relationships" r:id="R371cb6f41d64441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52" t="str">
        <x:v>Candidate Selection Scorecard</x:v>
      </x:c>
      <x:c r="B1" s="52" t="str">
        <x:v>Candidate Selection Scorecard</x:v>
      </x:c>
      <x:c r="C1" s="52" t="str">
        <x:v>Candidate Selection Scorecard</x:v>
      </x:c>
      <x:c r="D1" s="52" t="str">
        <x:v>Candidate Selection Scorecard</x:v>
      </x:c>
      <x:c r="E1" s="52" t="str">
        <x:v>Candidate Selection Scorecard</x:v>
      </x:c>
      <x:c r="F1" s="52" t="str">
        <x:v>Candidate Selection Scorecard</x:v>
      </x:c>
      <x:c r="G1" s="52" t="str">
        <x:v>Candidate Selection Scorecard</x:v>
      </x:c>
      <x:c r="H1" s="52" t="str">
        <x:v>Candidate Selection Scorecard</x:v>
      </x:c>
    </x:row>
    <x:row r="3" ht="28" customHeight="1">
      <x:c r="A3" s="18" t="str">
        <x:v>Candidate</x:v>
      </x:c>
      <x:c r="B3" s="19" t="str">
        <x:v>Acoustic family</x:v>
      </x:c>
      <x:c r="C3" s="19" t="str">
        <x:v>Board playback recall</x:v>
      </x:c>
      <x:c r="D3" s="19" t="str">
        <x:v>Inter-danger separation</x:v>
      </x:c>
      <x:c r="E3" s="19" t="str">
        <x:v>Hard-negative resistance</x:v>
      </x:c>
      <x:c r="F3" s="19" t="str">
        <x:v>Offline test performance</x:v>
      </x:c>
      <x:c r="G3" s="19" t="str">
        <x:v>Confidence/latency stability</x:v>
      </x:c>
      <x:c r="H3" s="20" t="str">
        <x:v>Final weighted score</x:v>
      </x:c>
    </x:row>
    <x:row r="4">
      <x:c r="A4" s="56" t="str">
        <x:v>siren</x:v>
      </x:c>
      <x:c r="B4" s="56" t="str">
        <x:v>modulated_tonal</x:v>
      </x:c>
      <x:c r="C4" s="68"/>
      <x:c r="D4" s="69" t="n">
        <x:f>1-MAX('Similarity'!$B$5:$D$5,'Similarity'!$F$5)</x:f>
        <x:v>0.02364480495452881</x:v>
      </x:c>
      <x:c r="E4" s="68"/>
      <x:c r="F4" s="69" t="n">
        <x:f>'Prelim Metrics'!$C$5</x:f>
        <x:v>0.9444444444444444</x:v>
      </x:c>
      <x:c r="G4" s="68"/>
      <x:c r="H4" s="70" t="str">
        <x:f>IF(COUNT(C4:G4)&lt;5,"",C4*'Protocol'!$B$4+D4*'Protocol'!$B$5+E4*'Protocol'!$B$6+F4*'Protocol'!$B$7+G4*'Protocol'!$B$8)</x:f>
      </x:c>
    </x:row>
    <x:row r="5">
      <x:c r="A5" s="56" t="str">
        <x:v>chainsaw</x:v>
      </x:c>
      <x:c r="B5" s="56" t="str">
        <x:v>continuous_mechanical</x:v>
      </x:c>
      <x:c r="C5" s="68"/>
      <x:c r="D5" s="69" t="n">
        <x:f>1-MAX('Similarity'!$C$2:$F$2)</x:f>
        <x:v>0.11948913335800171</x:v>
      </x:c>
      <x:c r="E5" s="68"/>
      <x:c r="F5" s="69" t="n">
        <x:f>'Prelim Metrics'!$C$2</x:f>
        <x:v>1</x:v>
      </x:c>
      <x:c r="G5" s="68"/>
      <x:c r="H5" s="70" t="str">
        <x:f>IF(COUNT(C5:G5)&lt;5,"",C5*'Protocol'!$B$4+D5*'Protocol'!$B$5+E5*'Protocol'!$B$6+F5*'Protocol'!$B$7+G5*'Protocol'!$B$8)</x:f>
      </x:c>
    </x:row>
    <x:row r="6">
      <x:c r="A6" s="56" t="str">
        <x:v>glass_breaking</x:v>
      </x:c>
      <x:c r="B6" s="56" t="str">
        <x:v>brittle_transient</x:v>
      </x:c>
      <x:c r="C6" s="68"/>
      <x:c r="D6" s="69"/>
      <x:c r="E6" s="68"/>
      <x:c r="F6" s="69"/>
      <x:c r="G6" s="68"/>
      <x:c r="H6" s="70" t="str">
        <x:f>IF(COUNT(C6:G6)&lt;5,"",C6*'Protocol'!$B$4+D6*'Protocol'!$B$5+E6*'Protocol'!$B$6+F6*'Protocol'!$B$7+G6*'Protocol'!$B$8)</x:f>
      </x:c>
    </x:row>
    <x:row r="7">
      <x:c r="A7" s="56" t="str">
        <x:v>screaming</x:v>
      </x:c>
      <x:c r="B7" s="56" t="str">
        <x:v>voiced_distress</x:v>
      </x:c>
      <x:c r="C7" s="68"/>
      <x:c r="D7" s="69" t="n">
        <x:f>1-MAX('Similarity'!$B$4:$C$4,'Similarity'!$E$4:$F$4)</x:f>
        <x:v>0.02364480495452881</x:v>
      </x:c>
      <x:c r="E7" s="68"/>
      <x:c r="F7" s="69" t="n">
        <x:f>'Prelim Metrics'!$C$4</x:f>
        <x:v>0.925</x:v>
      </x:c>
      <x:c r="G7" s="68"/>
      <x:c r="H7" s="70" t="str">
        <x:f>IF(COUNT(C7:G7)&lt;5,"",C7*'Protocol'!$B$4+D7*'Protocol'!$B$5+E7*'Protocol'!$B$6+F7*'Protocol'!$B$7+G7*'Protocol'!$B$8)</x:f>
      </x:c>
    </x:row>
    <x:row r="8">
      <x:c r="A8" s="56" t="str">
        <x:v>gunshot_gunfire</x:v>
      </x:c>
      <x:c r="B8" s="56" t="str">
        <x:v>explosive_impulse</x:v>
      </x:c>
      <x:c r="C8" s="68"/>
      <x:c r="D8" s="69" t="n">
        <x:f>1-MAX('Similarity'!$B$3,'Similarity'!$D$3:$F$3)</x:f>
        <x:v>0.07193422317504883</x:v>
      </x:c>
      <x:c r="E8" s="68"/>
      <x:c r="F8" s="69" t="n">
        <x:f>'Prelim Metrics'!$C$3</x:f>
        <x:v>0.9814814814814815</x:v>
      </x:c>
      <x:c r="G8" s="68"/>
      <x:c r="H8" s="70" t="str">
        <x:f>IF(COUNT(C8:G8)&lt;5,"",C8*'Protocol'!$B$4+D8*'Protocol'!$B$5+E8*'Protocol'!$B$6+F8*'Protocol'!$B$7+G8*'Protocol'!$B$8)</x:f>
      </x:c>
    </x:row>
    <x:row r="9">
      <x:c r="A9" s="56" t="str">
        <x:v>fire_alarm</x:v>
      </x:c>
      <x:c r="B9" s="56" t="str">
        <x:v>periodic_alarm</x:v>
      </x:c>
      <x:c r="C9" s="68"/>
      <x:c r="D9" s="69"/>
      <x:c r="E9" s="68"/>
      <x:c r="F9" s="69"/>
      <x:c r="G9" s="68"/>
      <x:c r="H9" s="70" t="str">
        <x:f>IF(COUNT(C9:G9)&lt;5,"",C9*'Protocol'!$B$4+D9*'Protocol'!$B$5+E9*'Protocol'!$B$6+F9*'Protocol'!$B$7+G9*'Protocol'!$B$8)</x:f>
      </x:c>
    </x:row>
    <x:row r="10">
      <x:c r="A10" s="56" t="str">
        <x:v>thunderstorm</x:v>
      </x:c>
      <x:c r="B10" s="56" t="str">
        <x:v>environmental_rumble</x:v>
      </x:c>
      <x:c r="C10" s="68"/>
      <x:c r="D10" s="69" t="n">
        <x:f>1-MAX('Similarity'!$B$6:$E$6)</x:f>
        <x:v>0.07193422317504883</x:v>
      </x:c>
      <x:c r="E10" s="68"/>
      <x:c r="F10" s="69" t="n">
        <x:f>'Prelim Metrics'!$C$6</x:f>
        <x:v>1</x:v>
      </x:c>
      <x:c r="G10" s="68"/>
      <x:c r="H10" s="70" t="str">
        <x:f>IF(COUNT(C10:G10)&lt;5,"",C10*'Protocol'!$B$4+D10*'Protocol'!$B$5+E10*'Protocol'!$B$6+F10*'Protocol'!$B$7+G10*'Protocol'!$B$8)</x:f>
      </x:c>
    </x:row>
    <x:row r="11">
      <x:c r="A11" s="56" t="str">
        <x:v>crackling_fire</x:v>
      </x:c>
      <x:c r="B11" s="56" t="str">
        <x:v>stochastic_crackle</x:v>
      </x:c>
      <x:c r="C11" s="68"/>
      <x:c r="D11" s="69"/>
      <x:c r="E11" s="68"/>
      <x:c r="F11" s="69"/>
      <x:c r="G11" s="68"/>
      <x:c r="H11" s="70" t="str">
        <x:f>IF(COUNT(C11:G11)&lt;5,"",C11*'Protocol'!$B$4+D11*'Protocol'!$B$5+E11*'Protocol'!$B$6+F11*'Protocol'!$B$7+G11*'Protocol'!$B$8)</x:f>
      </x:c>
    </x:row>
    <x:row r="13">
      <x:c r="A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B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C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D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E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F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G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H13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</x:row>
    <x:row r="14">
      <x:c r="A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B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C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D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E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F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G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H14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</x:row>
    <x:row r="15">
      <x:c r="A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B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C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D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E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F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G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  <x:c r="H15" s="78" t="str">
        <x:v>Amber cells are future physical measurements. Blue cells are formula-derived from the current final-five similarity and validation-recall evidence. The final score remains blank until every component has been measured; unknown values are never replaced with zero.</x:v>
      </x:c>
    </x:row>
  </x:sheetData>
  <x:mergeCells>
    <x:mergeCell ref="A1:H1"/>
    <x:mergeCell ref="A13:H15"/>
  </x:mergeCells>
  <x:dataValidations count="1">
    <x:dataValidation type="decimal" operator="between" sqref="C4:G11">
      <x:formula1>0</x:formula1>
      <x:formula2>1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4" hidden="0" customWidth="1"/>
  </x:cols>
  <x:sheetData>
    <x:row r="1" ht="34" customHeight="1">
      <x:c r="A1" s="52" t="str">
        <x:v>Physical Playback Trial Log</x:v>
      </x:c>
      <x:c r="B1" s="52" t="str">
        <x:v>Physical Playback Trial Log</x:v>
      </x:c>
      <x:c r="C1" s="52" t="str">
        <x:v>Physical Playback Trial Log</x:v>
      </x:c>
      <x:c r="D1" s="52" t="str">
        <x:v>Physical Playback Trial Log</x:v>
      </x:c>
      <x:c r="E1" s="52" t="str">
        <x:v>Physical Playback Trial Log</x:v>
      </x:c>
      <x:c r="F1" s="52" t="str">
        <x:v>Physical Playback Trial Log</x:v>
      </x:c>
      <x:c r="G1" s="52" t="str">
        <x:v>Physical Playback Trial Log</x:v>
      </x:c>
      <x:c r="H1" s="52" t="str">
        <x:v>Physical Playback Trial Log</x:v>
      </x:c>
      <x:c r="I1" s="52" t="str">
        <x:v>Physical Playback Trial Log</x:v>
      </x:c>
      <x:c r="J1" s="52" t="str">
        <x:v>Physical Playback Trial Log</x:v>
      </x:c>
      <x:c r="K1" s="52" t="str">
        <x:v>Physical Playback Trial Log</x:v>
      </x:c>
      <x:c r="L1" s="52" t="str">
        <x:v>Physical Playback Trial Log</x:v>
      </x:c>
      <x:c r="M1" s="52" t="str">
        <x:v>Physical Playback Trial Log</x:v>
      </x:c>
      <x:c r="N1" s="52" t="str">
        <x:v>Physical Playback Trial Log</x:v>
      </x:c>
    </x:row>
    <x:row r="3" ht="28" customHeight="1">
      <x:c r="A3" s="18" t="str">
        <x:v>trial_id</x:v>
      </x:c>
      <x:c r="B3" s="19" t="str">
        <x:v>recorded_at</x:v>
      </x:c>
      <x:c r="C3" s="19" t="str">
        <x:v>candidate_class</x:v>
      </x:c>
      <x:c r="D3" s="19" t="str">
        <x:v>clip_id</x:v>
      </x:c>
      <x:c r="E3" s="19" t="str">
        <x:v>expected_class</x:v>
      </x:c>
      <x:c r="F3" s="19" t="str">
        <x:v>distance_m</x:v>
      </x:c>
      <x:c r="G3" s="19" t="str">
        <x:v>noise_condition</x:v>
      </x:c>
      <x:c r="H3" s="19" t="str">
        <x:v>speaker_volume_pct</x:v>
      </x:c>
      <x:c r="I3" s="19" t="str">
        <x:v>detected</x:v>
      </x:c>
      <x:c r="J3" s="19" t="str">
        <x:v>predicted_class</x:v>
      </x:c>
      <x:c r="K3" s="19" t="str">
        <x:v>peak_confidence</x:v>
      </x:c>
      <x:c r="L3" s="19" t="str">
        <x:v>latency_ms</x:v>
      </x:c>
      <x:c r="M3" s="19" t="str">
        <x:v>alert_triggered</x:v>
      </x:c>
      <x:c r="N3" s="20" t="str">
        <x:v>notes</x:v>
      </x:c>
    </x:row>
    <x:row r="4">
      <x:c r="A4" s="98"/>
      <x:c r="B4" s="99"/>
      <x:c r="C4" s="98"/>
      <x:c r="D4" s="98"/>
      <x:c r="E4" s="98"/>
      <x:c r="F4" s="98"/>
      <x:c r="G4" s="98"/>
      <x:c r="H4" s="98"/>
      <x:c r="I4" s="98"/>
      <x:c r="J4" s="98"/>
      <x:c r="K4" s="100"/>
      <x:c r="L4" s="98"/>
      <x:c r="M4" s="98"/>
      <x:c r="N4" s="98"/>
    </x:row>
    <x:row r="5">
      <x:c r="A5" s="101"/>
      <x:c r="B5" s="102"/>
      <x:c r="C5" s="101"/>
      <x:c r="D5" s="101"/>
      <x:c r="E5" s="101"/>
      <x:c r="F5" s="101"/>
      <x:c r="G5" s="101"/>
      <x:c r="H5" s="101"/>
      <x:c r="I5" s="101"/>
      <x:c r="J5" s="101"/>
      <x:c r="K5" s="103"/>
      <x:c r="L5" s="101"/>
      <x:c r="M5" s="101"/>
      <x:c r="N5" s="101"/>
    </x:row>
    <x:row r="6">
      <x:c r="A6" s="101"/>
      <x:c r="B6" s="102"/>
      <x:c r="C6" s="101"/>
      <x:c r="D6" s="101"/>
      <x:c r="E6" s="101"/>
      <x:c r="F6" s="101"/>
      <x:c r="G6" s="101"/>
      <x:c r="H6" s="101"/>
      <x:c r="I6" s="101"/>
      <x:c r="J6" s="101"/>
      <x:c r="K6" s="103"/>
      <x:c r="L6" s="101"/>
      <x:c r="M6" s="101"/>
      <x:c r="N6" s="101"/>
    </x:row>
    <x:row r="7">
      <x:c r="A7" s="101"/>
      <x:c r="B7" s="102"/>
      <x:c r="C7" s="101"/>
      <x:c r="D7" s="101"/>
      <x:c r="E7" s="101"/>
      <x:c r="F7" s="101"/>
      <x:c r="G7" s="101"/>
      <x:c r="H7" s="101"/>
      <x:c r="I7" s="101"/>
      <x:c r="J7" s="101"/>
      <x:c r="K7" s="103"/>
      <x:c r="L7" s="101"/>
      <x:c r="M7" s="101"/>
      <x:c r="N7" s="101"/>
    </x:row>
    <x:row r="8">
      <x:c r="A8" s="101"/>
      <x:c r="B8" s="102"/>
      <x:c r="C8" s="101"/>
      <x:c r="D8" s="101"/>
      <x:c r="E8" s="101"/>
      <x:c r="F8" s="101"/>
      <x:c r="G8" s="101"/>
      <x:c r="H8" s="101"/>
      <x:c r="I8" s="101"/>
      <x:c r="J8" s="101"/>
      <x:c r="K8" s="103"/>
      <x:c r="L8" s="101"/>
      <x:c r="M8" s="101"/>
      <x:c r="N8" s="101"/>
    </x:row>
    <x:row r="9">
      <x:c r="A9" s="101"/>
      <x:c r="B9" s="102"/>
      <x:c r="C9" s="101"/>
      <x:c r="D9" s="101"/>
      <x:c r="E9" s="101"/>
      <x:c r="F9" s="101"/>
      <x:c r="G9" s="101"/>
      <x:c r="H9" s="101"/>
      <x:c r="I9" s="101"/>
      <x:c r="J9" s="101"/>
      <x:c r="K9" s="103"/>
      <x:c r="L9" s="101"/>
      <x:c r="M9" s="101"/>
      <x:c r="N9" s="101"/>
    </x:row>
    <x:row r="10">
      <x:c r="A10" s="101"/>
      <x:c r="B10" s="102"/>
      <x:c r="C10" s="101"/>
      <x:c r="D10" s="101"/>
      <x:c r="E10" s="101"/>
      <x:c r="F10" s="101"/>
      <x:c r="G10" s="101"/>
      <x:c r="H10" s="101"/>
      <x:c r="I10" s="101"/>
      <x:c r="J10" s="101"/>
      <x:c r="K10" s="103"/>
      <x:c r="L10" s="101"/>
      <x:c r="M10" s="101"/>
      <x:c r="N10" s="101"/>
    </x:row>
    <x:row r="11">
      <x:c r="A11" s="101"/>
      <x:c r="B11" s="102"/>
      <x:c r="C11" s="101"/>
      <x:c r="D11" s="101"/>
      <x:c r="E11" s="101"/>
      <x:c r="F11" s="101"/>
      <x:c r="G11" s="101"/>
      <x:c r="H11" s="101"/>
      <x:c r="I11" s="101"/>
      <x:c r="J11" s="101"/>
      <x:c r="K11" s="103"/>
      <x:c r="L11" s="101"/>
      <x:c r="M11" s="101"/>
      <x:c r="N11" s="101"/>
    </x:row>
    <x:row r="12">
      <x:c r="A12" s="101"/>
      <x:c r="B12" s="102"/>
      <x:c r="C12" s="101"/>
      <x:c r="D12" s="101"/>
      <x:c r="E12" s="101"/>
      <x:c r="F12" s="101"/>
      <x:c r="G12" s="101"/>
      <x:c r="H12" s="101"/>
      <x:c r="I12" s="101"/>
      <x:c r="J12" s="101"/>
      <x:c r="K12" s="103"/>
      <x:c r="L12" s="101"/>
      <x:c r="M12" s="101"/>
      <x:c r="N12" s="101"/>
    </x:row>
    <x:row r="13">
      <x:c r="A13" s="101"/>
      <x:c r="B13" s="102"/>
      <x:c r="C13" s="101"/>
      <x:c r="D13" s="101"/>
      <x:c r="E13" s="101"/>
      <x:c r="F13" s="101"/>
      <x:c r="G13" s="101"/>
      <x:c r="H13" s="101"/>
      <x:c r="I13" s="101"/>
      <x:c r="J13" s="101"/>
      <x:c r="K13" s="103"/>
      <x:c r="L13" s="101"/>
      <x:c r="M13" s="101"/>
      <x:c r="N13" s="101"/>
    </x:row>
    <x:row r="14">
      <x:c r="A14" s="101"/>
      <x:c r="B14" s="102"/>
      <x:c r="C14" s="101"/>
      <x:c r="D14" s="101"/>
      <x:c r="E14" s="101"/>
      <x:c r="F14" s="101"/>
      <x:c r="G14" s="101"/>
      <x:c r="H14" s="101"/>
      <x:c r="I14" s="101"/>
      <x:c r="J14" s="101"/>
      <x:c r="K14" s="103"/>
      <x:c r="L14" s="101"/>
      <x:c r="M14" s="101"/>
      <x:c r="N14" s="101"/>
    </x:row>
    <x:row r="15">
      <x:c r="A15" s="101"/>
      <x:c r="B15" s="102"/>
      <x:c r="C15" s="101"/>
      <x:c r="D15" s="101"/>
      <x:c r="E15" s="101"/>
      <x:c r="F15" s="101"/>
      <x:c r="G15" s="101"/>
      <x:c r="H15" s="101"/>
      <x:c r="I15" s="101"/>
      <x:c r="J15" s="101"/>
      <x:c r="K15" s="103"/>
      <x:c r="L15" s="101"/>
      <x:c r="M15" s="101"/>
      <x:c r="N15" s="101"/>
    </x:row>
    <x:row r="16">
      <x:c r="A16" s="101"/>
      <x:c r="B16" s="102"/>
      <x:c r="C16" s="101"/>
      <x:c r="D16" s="101"/>
      <x:c r="E16" s="101"/>
      <x:c r="F16" s="101"/>
      <x:c r="G16" s="101"/>
      <x:c r="H16" s="101"/>
      <x:c r="I16" s="101"/>
      <x:c r="J16" s="101"/>
      <x:c r="K16" s="103"/>
      <x:c r="L16" s="101"/>
      <x:c r="M16" s="101"/>
      <x:c r="N16" s="101"/>
    </x:row>
    <x:row r="17">
      <x:c r="A17" s="101"/>
      <x:c r="B17" s="102"/>
      <x:c r="C17" s="101"/>
      <x:c r="D17" s="101"/>
      <x:c r="E17" s="101"/>
      <x:c r="F17" s="101"/>
      <x:c r="G17" s="101"/>
      <x:c r="H17" s="101"/>
      <x:c r="I17" s="101"/>
      <x:c r="J17" s="101"/>
      <x:c r="K17" s="103"/>
      <x:c r="L17" s="101"/>
      <x:c r="M17" s="101"/>
      <x:c r="N17" s="101"/>
    </x:row>
    <x:row r="18">
      <x:c r="A18" s="101"/>
      <x:c r="B18" s="102"/>
      <x:c r="C18" s="101"/>
      <x:c r="D18" s="101"/>
      <x:c r="E18" s="101"/>
      <x:c r="F18" s="101"/>
      <x:c r="G18" s="101"/>
      <x:c r="H18" s="101"/>
      <x:c r="I18" s="101"/>
      <x:c r="J18" s="101"/>
      <x:c r="K18" s="103"/>
      <x:c r="L18" s="101"/>
      <x:c r="M18" s="101"/>
      <x:c r="N18" s="101"/>
    </x:row>
    <x:row r="19">
      <x:c r="A19" s="101"/>
      <x:c r="B19" s="102"/>
      <x:c r="C19" s="101"/>
      <x:c r="D19" s="101"/>
      <x:c r="E19" s="101"/>
      <x:c r="F19" s="101"/>
      <x:c r="G19" s="101"/>
      <x:c r="H19" s="101"/>
      <x:c r="I19" s="101"/>
      <x:c r="J19" s="101"/>
      <x:c r="K19" s="103"/>
      <x:c r="L19" s="101"/>
      <x:c r="M19" s="101"/>
      <x:c r="N19" s="101"/>
    </x:row>
    <x:row r="20">
      <x:c r="A20" s="101"/>
      <x:c r="B20" s="102"/>
      <x:c r="C20" s="101"/>
      <x:c r="D20" s="101"/>
      <x:c r="E20" s="101"/>
      <x:c r="F20" s="101"/>
      <x:c r="G20" s="101"/>
      <x:c r="H20" s="101"/>
      <x:c r="I20" s="101"/>
      <x:c r="J20" s="101"/>
      <x:c r="K20" s="103"/>
      <x:c r="L20" s="101"/>
      <x:c r="M20" s="101"/>
      <x:c r="N20" s="101"/>
    </x:row>
    <x:row r="21">
      <x:c r="A21" s="101"/>
      <x:c r="B21" s="102"/>
      <x:c r="C21" s="101"/>
      <x:c r="D21" s="101"/>
      <x:c r="E21" s="101"/>
      <x:c r="F21" s="101"/>
      <x:c r="G21" s="101"/>
      <x:c r="H21" s="101"/>
      <x:c r="I21" s="101"/>
      <x:c r="J21" s="101"/>
      <x:c r="K21" s="103"/>
      <x:c r="L21" s="101"/>
      <x:c r="M21" s="101"/>
      <x:c r="N21" s="101"/>
    </x:row>
    <x:row r="22">
      <x:c r="A22" s="101"/>
      <x:c r="B22" s="102"/>
      <x:c r="C22" s="101"/>
      <x:c r="D22" s="101"/>
      <x:c r="E22" s="101"/>
      <x:c r="F22" s="101"/>
      <x:c r="G22" s="101"/>
      <x:c r="H22" s="101"/>
      <x:c r="I22" s="101"/>
      <x:c r="J22" s="101"/>
      <x:c r="K22" s="103"/>
      <x:c r="L22" s="101"/>
      <x:c r="M22" s="101"/>
      <x:c r="N22" s="101"/>
    </x:row>
    <x:row r="23">
      <x:c r="A23" s="101"/>
      <x:c r="B23" s="102"/>
      <x:c r="C23" s="101"/>
      <x:c r="D23" s="101"/>
      <x:c r="E23" s="101"/>
      <x:c r="F23" s="101"/>
      <x:c r="G23" s="101"/>
      <x:c r="H23" s="101"/>
      <x:c r="I23" s="101"/>
      <x:c r="J23" s="101"/>
      <x:c r="K23" s="103"/>
      <x:c r="L23" s="101"/>
      <x:c r="M23" s="101"/>
      <x:c r="N23" s="101"/>
    </x:row>
    <x:row r="24">
      <x:c r="A24" s="101"/>
      <x:c r="B24" s="102"/>
      <x:c r="C24" s="101"/>
      <x:c r="D24" s="101"/>
      <x:c r="E24" s="101"/>
      <x:c r="F24" s="101"/>
      <x:c r="G24" s="101"/>
      <x:c r="H24" s="101"/>
      <x:c r="I24" s="101"/>
      <x:c r="J24" s="101"/>
      <x:c r="K24" s="103"/>
      <x:c r="L24" s="101"/>
      <x:c r="M24" s="101"/>
      <x:c r="N24" s="101"/>
    </x:row>
    <x:row r="25">
      <x:c r="A25" s="101"/>
      <x:c r="B25" s="102"/>
      <x:c r="C25" s="101"/>
      <x:c r="D25" s="101"/>
      <x:c r="E25" s="101"/>
      <x:c r="F25" s="101"/>
      <x:c r="G25" s="101"/>
      <x:c r="H25" s="101"/>
      <x:c r="I25" s="101"/>
      <x:c r="J25" s="101"/>
      <x:c r="K25" s="103"/>
      <x:c r="L25" s="101"/>
      <x:c r="M25" s="101"/>
      <x:c r="N25" s="101"/>
    </x:row>
    <x:row r="26">
      <x:c r="A26" s="101"/>
      <x:c r="B26" s="102"/>
      <x:c r="C26" s="101"/>
      <x:c r="D26" s="101"/>
      <x:c r="E26" s="101"/>
      <x:c r="F26" s="101"/>
      <x:c r="G26" s="101"/>
      <x:c r="H26" s="101"/>
      <x:c r="I26" s="101"/>
      <x:c r="J26" s="101"/>
      <x:c r="K26" s="103"/>
      <x:c r="L26" s="101"/>
      <x:c r="M26" s="101"/>
      <x:c r="N26" s="101"/>
    </x:row>
    <x:row r="27">
      <x:c r="A27" s="101"/>
      <x:c r="B27" s="102"/>
      <x:c r="C27" s="101"/>
      <x:c r="D27" s="101"/>
      <x:c r="E27" s="101"/>
      <x:c r="F27" s="101"/>
      <x:c r="G27" s="101"/>
      <x:c r="H27" s="101"/>
      <x:c r="I27" s="101"/>
      <x:c r="J27" s="101"/>
      <x:c r="K27" s="103"/>
      <x:c r="L27" s="101"/>
      <x:c r="M27" s="101"/>
      <x:c r="N27" s="101"/>
    </x:row>
    <x:row r="28">
      <x:c r="A28" s="101"/>
      <x:c r="B28" s="102"/>
      <x:c r="C28" s="101"/>
      <x:c r="D28" s="101"/>
      <x:c r="E28" s="101"/>
      <x:c r="F28" s="101"/>
      <x:c r="G28" s="101"/>
      <x:c r="H28" s="101"/>
      <x:c r="I28" s="101"/>
      <x:c r="J28" s="101"/>
      <x:c r="K28" s="103"/>
      <x:c r="L28" s="101"/>
      <x:c r="M28" s="101"/>
      <x:c r="N28" s="101"/>
    </x:row>
    <x:row r="29">
      <x:c r="A29" s="101"/>
      <x:c r="B29" s="102"/>
      <x:c r="C29" s="101"/>
      <x:c r="D29" s="101"/>
      <x:c r="E29" s="101"/>
      <x:c r="F29" s="101"/>
      <x:c r="G29" s="101"/>
      <x:c r="H29" s="101"/>
      <x:c r="I29" s="101"/>
      <x:c r="J29" s="101"/>
      <x:c r="K29" s="103"/>
      <x:c r="L29" s="101"/>
      <x:c r="M29" s="101"/>
      <x:c r="N29" s="101"/>
    </x:row>
    <x:row r="30">
      <x:c r="A30" s="101"/>
      <x:c r="B30" s="102"/>
      <x:c r="C30" s="101"/>
      <x:c r="D30" s="101"/>
      <x:c r="E30" s="101"/>
      <x:c r="F30" s="101"/>
      <x:c r="G30" s="101"/>
      <x:c r="H30" s="101"/>
      <x:c r="I30" s="101"/>
      <x:c r="J30" s="101"/>
      <x:c r="K30" s="103"/>
      <x:c r="L30" s="101"/>
      <x:c r="M30" s="101"/>
      <x:c r="N30" s="101"/>
    </x:row>
    <x:row r="31">
      <x:c r="A31" s="101"/>
      <x:c r="B31" s="102"/>
      <x:c r="C31" s="101"/>
      <x:c r="D31" s="101"/>
      <x:c r="E31" s="101"/>
      <x:c r="F31" s="101"/>
      <x:c r="G31" s="101"/>
      <x:c r="H31" s="101"/>
      <x:c r="I31" s="101"/>
      <x:c r="J31" s="101"/>
      <x:c r="K31" s="103"/>
      <x:c r="L31" s="101"/>
      <x:c r="M31" s="101"/>
      <x:c r="N31" s="101"/>
    </x:row>
    <x:row r="32">
      <x:c r="A32" s="101"/>
      <x:c r="B32" s="102"/>
      <x:c r="C32" s="101"/>
      <x:c r="D32" s="101"/>
      <x:c r="E32" s="101"/>
      <x:c r="F32" s="101"/>
      <x:c r="G32" s="101"/>
      <x:c r="H32" s="101"/>
      <x:c r="I32" s="101"/>
      <x:c r="J32" s="101"/>
      <x:c r="K32" s="103"/>
      <x:c r="L32" s="101"/>
      <x:c r="M32" s="101"/>
      <x:c r="N32" s="101"/>
    </x:row>
    <x:row r="33">
      <x:c r="A33" s="101"/>
      <x:c r="B33" s="102"/>
      <x:c r="C33" s="101"/>
      <x:c r="D33" s="101"/>
      <x:c r="E33" s="101"/>
      <x:c r="F33" s="101"/>
      <x:c r="G33" s="101"/>
      <x:c r="H33" s="101"/>
      <x:c r="I33" s="101"/>
      <x:c r="J33" s="101"/>
      <x:c r="K33" s="103"/>
      <x:c r="L33" s="101"/>
      <x:c r="M33" s="101"/>
      <x:c r="N33" s="101"/>
    </x:row>
    <x:row r="34">
      <x:c r="A34" s="101"/>
      <x:c r="B34" s="102"/>
      <x:c r="C34" s="101"/>
      <x:c r="D34" s="101"/>
      <x:c r="E34" s="101"/>
      <x:c r="F34" s="101"/>
      <x:c r="G34" s="101"/>
      <x:c r="H34" s="101"/>
      <x:c r="I34" s="101"/>
      <x:c r="J34" s="101"/>
      <x:c r="K34" s="103"/>
      <x:c r="L34" s="101"/>
      <x:c r="M34" s="101"/>
      <x:c r="N34" s="101"/>
    </x:row>
    <x:row r="35">
      <x:c r="A35" s="101"/>
      <x:c r="B35" s="102"/>
      <x:c r="C35" s="101"/>
      <x:c r="D35" s="101"/>
      <x:c r="E35" s="101"/>
      <x:c r="F35" s="101"/>
      <x:c r="G35" s="101"/>
      <x:c r="H35" s="101"/>
      <x:c r="I35" s="101"/>
      <x:c r="J35" s="101"/>
      <x:c r="K35" s="103"/>
      <x:c r="L35" s="101"/>
      <x:c r="M35" s="101"/>
      <x:c r="N35" s="101"/>
    </x:row>
    <x:row r="36">
      <x:c r="A36" s="101"/>
      <x:c r="B36" s="102"/>
      <x:c r="C36" s="101"/>
      <x:c r="D36" s="101"/>
      <x:c r="E36" s="101"/>
      <x:c r="F36" s="101"/>
      <x:c r="G36" s="101"/>
      <x:c r="H36" s="101"/>
      <x:c r="I36" s="101"/>
      <x:c r="J36" s="101"/>
      <x:c r="K36" s="103"/>
      <x:c r="L36" s="101"/>
      <x:c r="M36" s="101"/>
      <x:c r="N36" s="101"/>
    </x:row>
    <x:row r="37">
      <x:c r="A37" s="101"/>
      <x:c r="B37" s="102"/>
      <x:c r="C37" s="101"/>
      <x:c r="D37" s="101"/>
      <x:c r="E37" s="101"/>
      <x:c r="F37" s="101"/>
      <x:c r="G37" s="101"/>
      <x:c r="H37" s="101"/>
      <x:c r="I37" s="101"/>
      <x:c r="J37" s="101"/>
      <x:c r="K37" s="103"/>
      <x:c r="L37" s="101"/>
      <x:c r="M37" s="101"/>
      <x:c r="N37" s="101"/>
    </x:row>
    <x:row r="38">
      <x:c r="A38" s="101"/>
      <x:c r="B38" s="102"/>
      <x:c r="C38" s="101"/>
      <x:c r="D38" s="101"/>
      <x:c r="E38" s="101"/>
      <x:c r="F38" s="101"/>
      <x:c r="G38" s="101"/>
      <x:c r="H38" s="101"/>
      <x:c r="I38" s="101"/>
      <x:c r="J38" s="101"/>
      <x:c r="K38" s="103"/>
      <x:c r="L38" s="101"/>
      <x:c r="M38" s="101"/>
      <x:c r="N38" s="101"/>
    </x:row>
    <x:row r="39">
      <x:c r="A39" s="101"/>
      <x:c r="B39" s="102"/>
      <x:c r="C39" s="101"/>
      <x:c r="D39" s="101"/>
      <x:c r="E39" s="101"/>
      <x:c r="F39" s="101"/>
      <x:c r="G39" s="101"/>
      <x:c r="H39" s="101"/>
      <x:c r="I39" s="101"/>
      <x:c r="J39" s="101"/>
      <x:c r="K39" s="103"/>
      <x:c r="L39" s="101"/>
      <x:c r="M39" s="101"/>
      <x:c r="N39" s="101"/>
    </x:row>
    <x:row r="40">
      <x:c r="A40" s="101"/>
      <x:c r="B40" s="102"/>
      <x:c r="C40" s="101"/>
      <x:c r="D40" s="101"/>
      <x:c r="E40" s="101"/>
      <x:c r="F40" s="101"/>
      <x:c r="G40" s="101"/>
      <x:c r="H40" s="101"/>
      <x:c r="I40" s="101"/>
      <x:c r="J40" s="101"/>
      <x:c r="K40" s="103"/>
      <x:c r="L40" s="101"/>
      <x:c r="M40" s="101"/>
      <x:c r="N40" s="101"/>
    </x:row>
    <x:row r="41">
      <x:c r="A41" s="101"/>
      <x:c r="B41" s="102"/>
      <x:c r="C41" s="101"/>
      <x:c r="D41" s="101"/>
      <x:c r="E41" s="101"/>
      <x:c r="F41" s="101"/>
      <x:c r="G41" s="101"/>
      <x:c r="H41" s="101"/>
      <x:c r="I41" s="101"/>
      <x:c r="J41" s="101"/>
      <x:c r="K41" s="103"/>
      <x:c r="L41" s="101"/>
      <x:c r="M41" s="101"/>
      <x:c r="N41" s="101"/>
    </x:row>
    <x:row r="42">
      <x:c r="A42" s="101"/>
      <x:c r="B42" s="102"/>
      <x:c r="C42" s="101"/>
      <x:c r="D42" s="101"/>
      <x:c r="E42" s="101"/>
      <x:c r="F42" s="101"/>
      <x:c r="G42" s="101"/>
      <x:c r="H42" s="101"/>
      <x:c r="I42" s="101"/>
      <x:c r="J42" s="101"/>
      <x:c r="K42" s="103"/>
      <x:c r="L42" s="101"/>
      <x:c r="M42" s="101"/>
      <x:c r="N42" s="101"/>
    </x:row>
    <x:row r="43">
      <x:c r="A43" s="101"/>
      <x:c r="B43" s="102"/>
      <x:c r="C43" s="101"/>
      <x:c r="D43" s="101"/>
      <x:c r="E43" s="101"/>
      <x:c r="F43" s="101"/>
      <x:c r="G43" s="101"/>
      <x:c r="H43" s="101"/>
      <x:c r="I43" s="101"/>
      <x:c r="J43" s="101"/>
      <x:c r="K43" s="103"/>
      <x:c r="L43" s="101"/>
      <x:c r="M43" s="101"/>
      <x:c r="N43" s="101"/>
    </x:row>
    <x:row r="44">
      <x:c r="A44" s="101"/>
      <x:c r="B44" s="102"/>
      <x:c r="C44" s="101"/>
      <x:c r="D44" s="101"/>
      <x:c r="E44" s="101"/>
      <x:c r="F44" s="101"/>
      <x:c r="G44" s="101"/>
      <x:c r="H44" s="101"/>
      <x:c r="I44" s="101"/>
      <x:c r="J44" s="101"/>
      <x:c r="K44" s="103"/>
      <x:c r="L44" s="101"/>
      <x:c r="M44" s="101"/>
      <x:c r="N44" s="101"/>
    </x:row>
    <x:row r="45">
      <x:c r="A45" s="101"/>
      <x:c r="B45" s="102"/>
      <x:c r="C45" s="101"/>
      <x:c r="D45" s="101"/>
      <x:c r="E45" s="101"/>
      <x:c r="F45" s="101"/>
      <x:c r="G45" s="101"/>
      <x:c r="H45" s="101"/>
      <x:c r="I45" s="101"/>
      <x:c r="J45" s="101"/>
      <x:c r="K45" s="103"/>
      <x:c r="L45" s="101"/>
      <x:c r="M45" s="101"/>
      <x:c r="N45" s="101"/>
    </x:row>
    <x:row r="46">
      <x:c r="A46" s="101"/>
      <x:c r="B46" s="102"/>
      <x:c r="C46" s="101"/>
      <x:c r="D46" s="101"/>
      <x:c r="E46" s="101"/>
      <x:c r="F46" s="101"/>
      <x:c r="G46" s="101"/>
      <x:c r="H46" s="101"/>
      <x:c r="I46" s="101"/>
      <x:c r="J46" s="101"/>
      <x:c r="K46" s="103"/>
      <x:c r="L46" s="101"/>
      <x:c r="M46" s="101"/>
      <x:c r="N46" s="101"/>
    </x:row>
    <x:row r="47">
      <x:c r="A47" s="101"/>
      <x:c r="B47" s="102"/>
      <x:c r="C47" s="101"/>
      <x:c r="D47" s="101"/>
      <x:c r="E47" s="101"/>
      <x:c r="F47" s="101"/>
      <x:c r="G47" s="101"/>
      <x:c r="H47" s="101"/>
      <x:c r="I47" s="101"/>
      <x:c r="J47" s="101"/>
      <x:c r="K47" s="103"/>
      <x:c r="L47" s="101"/>
      <x:c r="M47" s="101"/>
      <x:c r="N47" s="101"/>
    </x:row>
    <x:row r="48">
      <x:c r="A48" s="101"/>
      <x:c r="B48" s="102"/>
      <x:c r="C48" s="101"/>
      <x:c r="D48" s="101"/>
      <x:c r="E48" s="101"/>
      <x:c r="F48" s="101"/>
      <x:c r="G48" s="101"/>
      <x:c r="H48" s="101"/>
      <x:c r="I48" s="101"/>
      <x:c r="J48" s="101"/>
      <x:c r="K48" s="103"/>
      <x:c r="L48" s="101"/>
      <x:c r="M48" s="101"/>
      <x:c r="N48" s="101"/>
    </x:row>
    <x:row r="49">
      <x:c r="A49" s="101"/>
      <x:c r="B49" s="102"/>
      <x:c r="C49" s="101"/>
      <x:c r="D49" s="101"/>
      <x:c r="E49" s="101"/>
      <x:c r="F49" s="101"/>
      <x:c r="G49" s="101"/>
      <x:c r="H49" s="101"/>
      <x:c r="I49" s="101"/>
      <x:c r="J49" s="101"/>
      <x:c r="K49" s="103"/>
      <x:c r="L49" s="101"/>
      <x:c r="M49" s="101"/>
      <x:c r="N49" s="101"/>
    </x:row>
    <x:row r="50">
      <x:c r="A50" s="101"/>
      <x:c r="B50" s="102"/>
      <x:c r="C50" s="101"/>
      <x:c r="D50" s="101"/>
      <x:c r="E50" s="101"/>
      <x:c r="F50" s="101"/>
      <x:c r="G50" s="101"/>
      <x:c r="H50" s="101"/>
      <x:c r="I50" s="101"/>
      <x:c r="J50" s="101"/>
      <x:c r="K50" s="103"/>
      <x:c r="L50" s="101"/>
      <x:c r="M50" s="101"/>
      <x:c r="N50" s="101"/>
    </x:row>
    <x:row r="51">
      <x:c r="A51" s="101"/>
      <x:c r="B51" s="102"/>
      <x:c r="C51" s="101"/>
      <x:c r="D51" s="101"/>
      <x:c r="E51" s="101"/>
      <x:c r="F51" s="101"/>
      <x:c r="G51" s="101"/>
      <x:c r="H51" s="101"/>
      <x:c r="I51" s="101"/>
      <x:c r="J51" s="101"/>
      <x:c r="K51" s="103"/>
      <x:c r="L51" s="101"/>
      <x:c r="M51" s="101"/>
      <x:c r="N51" s="101"/>
    </x:row>
    <x:row r="52">
      <x:c r="A52" s="101"/>
      <x:c r="B52" s="102"/>
      <x:c r="C52" s="101"/>
      <x:c r="D52" s="101"/>
      <x:c r="E52" s="101"/>
      <x:c r="F52" s="101"/>
      <x:c r="G52" s="101"/>
      <x:c r="H52" s="101"/>
      <x:c r="I52" s="101"/>
      <x:c r="J52" s="101"/>
      <x:c r="K52" s="103"/>
      <x:c r="L52" s="101"/>
      <x:c r="M52" s="101"/>
      <x:c r="N52" s="101"/>
    </x:row>
    <x:row r="53">
      <x:c r="A53" s="101"/>
      <x:c r="B53" s="102"/>
      <x:c r="C53" s="101"/>
      <x:c r="D53" s="101"/>
      <x:c r="E53" s="101"/>
      <x:c r="F53" s="101"/>
      <x:c r="G53" s="101"/>
      <x:c r="H53" s="101"/>
      <x:c r="I53" s="101"/>
      <x:c r="J53" s="101"/>
      <x:c r="K53" s="103"/>
      <x:c r="L53" s="101"/>
      <x:c r="M53" s="101"/>
      <x:c r="N53" s="101"/>
    </x:row>
    <x:row r="54">
      <x:c r="A54" s="101"/>
      <x:c r="B54" s="102"/>
      <x:c r="C54" s="101"/>
      <x:c r="D54" s="101"/>
      <x:c r="E54" s="101"/>
      <x:c r="F54" s="101"/>
      <x:c r="G54" s="101"/>
      <x:c r="H54" s="101"/>
      <x:c r="I54" s="101"/>
      <x:c r="J54" s="101"/>
      <x:c r="K54" s="103"/>
      <x:c r="L54" s="101"/>
      <x:c r="M54" s="101"/>
      <x:c r="N54" s="101"/>
    </x:row>
    <x:row r="55">
      <x:c r="A55" s="101"/>
      <x:c r="B55" s="102"/>
      <x:c r="C55" s="101"/>
      <x:c r="D55" s="101"/>
      <x:c r="E55" s="101"/>
      <x:c r="F55" s="101"/>
      <x:c r="G55" s="101"/>
      <x:c r="H55" s="101"/>
      <x:c r="I55" s="101"/>
      <x:c r="J55" s="101"/>
      <x:c r="K55" s="103"/>
      <x:c r="L55" s="101"/>
      <x:c r="M55" s="101"/>
      <x:c r="N55" s="101"/>
    </x:row>
    <x:row r="56">
      <x:c r="A56" s="101"/>
      <x:c r="B56" s="102"/>
      <x:c r="C56" s="101"/>
      <x:c r="D56" s="101"/>
      <x:c r="E56" s="101"/>
      <x:c r="F56" s="101"/>
      <x:c r="G56" s="101"/>
      <x:c r="H56" s="101"/>
      <x:c r="I56" s="101"/>
      <x:c r="J56" s="101"/>
      <x:c r="K56" s="103"/>
      <x:c r="L56" s="101"/>
      <x:c r="M56" s="101"/>
      <x:c r="N56" s="101"/>
    </x:row>
    <x:row r="57">
      <x:c r="A57" s="101"/>
      <x:c r="B57" s="102"/>
      <x:c r="C57" s="101"/>
      <x:c r="D57" s="101"/>
      <x:c r="E57" s="101"/>
      <x:c r="F57" s="101"/>
      <x:c r="G57" s="101"/>
      <x:c r="H57" s="101"/>
      <x:c r="I57" s="101"/>
      <x:c r="J57" s="101"/>
      <x:c r="K57" s="103"/>
      <x:c r="L57" s="101"/>
      <x:c r="M57" s="101"/>
      <x:c r="N57" s="101"/>
    </x:row>
    <x:row r="58">
      <x:c r="A58" s="101"/>
      <x:c r="B58" s="102"/>
      <x:c r="C58" s="101"/>
      <x:c r="D58" s="101"/>
      <x:c r="E58" s="101"/>
      <x:c r="F58" s="101"/>
      <x:c r="G58" s="101"/>
      <x:c r="H58" s="101"/>
      <x:c r="I58" s="101"/>
      <x:c r="J58" s="101"/>
      <x:c r="K58" s="103"/>
      <x:c r="L58" s="101"/>
      <x:c r="M58" s="101"/>
      <x:c r="N58" s="101"/>
    </x:row>
    <x:row r="59">
      <x:c r="A59" s="101"/>
      <x:c r="B59" s="102"/>
      <x:c r="C59" s="101"/>
      <x:c r="D59" s="101"/>
      <x:c r="E59" s="101"/>
      <x:c r="F59" s="101"/>
      <x:c r="G59" s="101"/>
      <x:c r="H59" s="101"/>
      <x:c r="I59" s="101"/>
      <x:c r="J59" s="101"/>
      <x:c r="K59" s="103"/>
      <x:c r="L59" s="101"/>
      <x:c r="M59" s="101"/>
      <x:c r="N59" s="101"/>
    </x:row>
    <x:row r="60">
      <x:c r="A60" s="101"/>
      <x:c r="B60" s="102"/>
      <x:c r="C60" s="101"/>
      <x:c r="D60" s="101"/>
      <x:c r="E60" s="101"/>
      <x:c r="F60" s="101"/>
      <x:c r="G60" s="101"/>
      <x:c r="H60" s="101"/>
      <x:c r="I60" s="101"/>
      <x:c r="J60" s="101"/>
      <x:c r="K60" s="103"/>
      <x:c r="L60" s="101"/>
      <x:c r="M60" s="101"/>
      <x:c r="N60" s="101"/>
    </x:row>
    <x:row r="61">
      <x:c r="A61" s="101"/>
      <x:c r="B61" s="102"/>
      <x:c r="C61" s="101"/>
      <x:c r="D61" s="101"/>
      <x:c r="E61" s="101"/>
      <x:c r="F61" s="101"/>
      <x:c r="G61" s="101"/>
      <x:c r="H61" s="101"/>
      <x:c r="I61" s="101"/>
      <x:c r="J61" s="101"/>
      <x:c r="K61" s="103"/>
      <x:c r="L61" s="101"/>
      <x:c r="M61" s="101"/>
      <x:c r="N61" s="101"/>
    </x:row>
    <x:row r="62">
      <x:c r="A62" s="101"/>
      <x:c r="B62" s="102"/>
      <x:c r="C62" s="101"/>
      <x:c r="D62" s="101"/>
      <x:c r="E62" s="101"/>
      <x:c r="F62" s="101"/>
      <x:c r="G62" s="101"/>
      <x:c r="H62" s="101"/>
      <x:c r="I62" s="101"/>
      <x:c r="J62" s="101"/>
      <x:c r="K62" s="103"/>
      <x:c r="L62" s="101"/>
      <x:c r="M62" s="101"/>
      <x:c r="N62" s="101"/>
    </x:row>
    <x:row r="63">
      <x:c r="A63" s="101"/>
      <x:c r="B63" s="102"/>
      <x:c r="C63" s="101"/>
      <x:c r="D63" s="101"/>
      <x:c r="E63" s="101"/>
      <x:c r="F63" s="101"/>
      <x:c r="G63" s="101"/>
      <x:c r="H63" s="101"/>
      <x:c r="I63" s="101"/>
      <x:c r="J63" s="101"/>
      <x:c r="K63" s="103"/>
      <x:c r="L63" s="101"/>
      <x:c r="M63" s="101"/>
      <x:c r="N63" s="101"/>
    </x:row>
    <x:row r="64">
      <x:c r="A64" s="101"/>
      <x:c r="B64" s="102"/>
      <x:c r="C64" s="101"/>
      <x:c r="D64" s="101"/>
      <x:c r="E64" s="101"/>
      <x:c r="F64" s="101"/>
      <x:c r="G64" s="101"/>
      <x:c r="H64" s="101"/>
      <x:c r="I64" s="101"/>
      <x:c r="J64" s="101"/>
      <x:c r="K64" s="103"/>
      <x:c r="L64" s="101"/>
      <x:c r="M64" s="101"/>
      <x:c r="N64" s="101"/>
    </x:row>
    <x:row r="65">
      <x:c r="A65" s="101"/>
      <x:c r="B65" s="102"/>
      <x:c r="C65" s="101"/>
      <x:c r="D65" s="101"/>
      <x:c r="E65" s="101"/>
      <x:c r="F65" s="101"/>
      <x:c r="G65" s="101"/>
      <x:c r="H65" s="101"/>
      <x:c r="I65" s="101"/>
      <x:c r="J65" s="101"/>
      <x:c r="K65" s="103"/>
      <x:c r="L65" s="101"/>
      <x:c r="M65" s="101"/>
      <x:c r="N65" s="101"/>
    </x:row>
    <x:row r="66">
      <x:c r="A66" s="101"/>
      <x:c r="B66" s="102"/>
      <x:c r="C66" s="101"/>
      <x:c r="D66" s="101"/>
      <x:c r="E66" s="101"/>
      <x:c r="F66" s="101"/>
      <x:c r="G66" s="101"/>
      <x:c r="H66" s="101"/>
      <x:c r="I66" s="101"/>
      <x:c r="J66" s="101"/>
      <x:c r="K66" s="103"/>
      <x:c r="L66" s="101"/>
      <x:c r="M66" s="101"/>
      <x:c r="N66" s="101"/>
    </x:row>
    <x:row r="67">
      <x:c r="A67" s="101"/>
      <x:c r="B67" s="102"/>
      <x:c r="C67" s="101"/>
      <x:c r="D67" s="101"/>
      <x:c r="E67" s="101"/>
      <x:c r="F67" s="101"/>
      <x:c r="G67" s="101"/>
      <x:c r="H67" s="101"/>
      <x:c r="I67" s="101"/>
      <x:c r="J67" s="101"/>
      <x:c r="K67" s="103"/>
      <x:c r="L67" s="101"/>
      <x:c r="M67" s="101"/>
      <x:c r="N67" s="101"/>
    </x:row>
    <x:row r="68">
      <x:c r="A68" s="101"/>
      <x:c r="B68" s="102"/>
      <x:c r="C68" s="101"/>
      <x:c r="D68" s="101"/>
      <x:c r="E68" s="101"/>
      <x:c r="F68" s="101"/>
      <x:c r="G68" s="101"/>
      <x:c r="H68" s="101"/>
      <x:c r="I68" s="101"/>
      <x:c r="J68" s="101"/>
      <x:c r="K68" s="103"/>
      <x:c r="L68" s="101"/>
      <x:c r="M68" s="101"/>
      <x:c r="N68" s="101"/>
    </x:row>
    <x:row r="69">
      <x:c r="A69" s="101"/>
      <x:c r="B69" s="102"/>
      <x:c r="C69" s="101"/>
      <x:c r="D69" s="101"/>
      <x:c r="E69" s="101"/>
      <x:c r="F69" s="101"/>
      <x:c r="G69" s="101"/>
      <x:c r="H69" s="101"/>
      <x:c r="I69" s="101"/>
      <x:c r="J69" s="101"/>
      <x:c r="K69" s="103"/>
      <x:c r="L69" s="101"/>
      <x:c r="M69" s="101"/>
      <x:c r="N69" s="101"/>
    </x:row>
    <x:row r="70">
      <x:c r="A70" s="101"/>
      <x:c r="B70" s="102"/>
      <x:c r="C70" s="101"/>
      <x:c r="D70" s="101"/>
      <x:c r="E70" s="101"/>
      <x:c r="F70" s="101"/>
      <x:c r="G70" s="101"/>
      <x:c r="H70" s="101"/>
      <x:c r="I70" s="101"/>
      <x:c r="J70" s="101"/>
      <x:c r="K70" s="103"/>
      <x:c r="L70" s="101"/>
      <x:c r="M70" s="101"/>
      <x:c r="N70" s="101"/>
    </x:row>
    <x:row r="71">
      <x:c r="A71" s="101"/>
      <x:c r="B71" s="102"/>
      <x:c r="C71" s="101"/>
      <x:c r="D71" s="101"/>
      <x:c r="E71" s="101"/>
      <x:c r="F71" s="101"/>
      <x:c r="G71" s="101"/>
      <x:c r="H71" s="101"/>
      <x:c r="I71" s="101"/>
      <x:c r="J71" s="101"/>
      <x:c r="K71" s="103"/>
      <x:c r="L71" s="101"/>
      <x:c r="M71" s="101"/>
      <x:c r="N71" s="101"/>
    </x:row>
    <x:row r="72">
      <x:c r="A72" s="101"/>
      <x:c r="B72" s="102"/>
      <x:c r="C72" s="101"/>
      <x:c r="D72" s="101"/>
      <x:c r="E72" s="101"/>
      <x:c r="F72" s="101"/>
      <x:c r="G72" s="101"/>
      <x:c r="H72" s="101"/>
      <x:c r="I72" s="101"/>
      <x:c r="J72" s="101"/>
      <x:c r="K72" s="103"/>
      <x:c r="L72" s="101"/>
      <x:c r="M72" s="101"/>
      <x:c r="N72" s="101"/>
    </x:row>
    <x:row r="73">
      <x:c r="A73" s="101"/>
      <x:c r="B73" s="102"/>
      <x:c r="C73" s="101"/>
      <x:c r="D73" s="101"/>
      <x:c r="E73" s="101"/>
      <x:c r="F73" s="101"/>
      <x:c r="G73" s="101"/>
      <x:c r="H73" s="101"/>
      <x:c r="I73" s="101"/>
      <x:c r="J73" s="101"/>
      <x:c r="K73" s="103"/>
      <x:c r="L73" s="101"/>
      <x:c r="M73" s="101"/>
      <x:c r="N73" s="101"/>
    </x:row>
    <x:row r="74">
      <x:c r="A74" s="101"/>
      <x:c r="B74" s="102"/>
      <x:c r="C74" s="101"/>
      <x:c r="D74" s="101"/>
      <x:c r="E74" s="101"/>
      <x:c r="F74" s="101"/>
      <x:c r="G74" s="101"/>
      <x:c r="H74" s="101"/>
      <x:c r="I74" s="101"/>
      <x:c r="J74" s="101"/>
      <x:c r="K74" s="103"/>
      <x:c r="L74" s="101"/>
      <x:c r="M74" s="101"/>
      <x:c r="N74" s="101"/>
    </x:row>
    <x:row r="75">
      <x:c r="A75" s="101"/>
      <x:c r="B75" s="102"/>
      <x:c r="C75" s="101"/>
      <x:c r="D75" s="101"/>
      <x:c r="E75" s="101"/>
      <x:c r="F75" s="101"/>
      <x:c r="G75" s="101"/>
      <x:c r="H75" s="101"/>
      <x:c r="I75" s="101"/>
      <x:c r="J75" s="101"/>
      <x:c r="K75" s="103"/>
      <x:c r="L75" s="101"/>
      <x:c r="M75" s="101"/>
      <x:c r="N75" s="101"/>
    </x:row>
    <x:row r="76">
      <x:c r="A76" s="101"/>
      <x:c r="B76" s="102"/>
      <x:c r="C76" s="101"/>
      <x:c r="D76" s="101"/>
      <x:c r="E76" s="101"/>
      <x:c r="F76" s="101"/>
      <x:c r="G76" s="101"/>
      <x:c r="H76" s="101"/>
      <x:c r="I76" s="101"/>
      <x:c r="J76" s="101"/>
      <x:c r="K76" s="103"/>
      <x:c r="L76" s="101"/>
      <x:c r="M76" s="101"/>
      <x:c r="N76" s="101"/>
    </x:row>
    <x:row r="77">
      <x:c r="A77" s="101"/>
      <x:c r="B77" s="102"/>
      <x:c r="C77" s="101"/>
      <x:c r="D77" s="101"/>
      <x:c r="E77" s="101"/>
      <x:c r="F77" s="101"/>
      <x:c r="G77" s="101"/>
      <x:c r="H77" s="101"/>
      <x:c r="I77" s="101"/>
      <x:c r="J77" s="101"/>
      <x:c r="K77" s="103"/>
      <x:c r="L77" s="101"/>
      <x:c r="M77" s="101"/>
      <x:c r="N77" s="101"/>
    </x:row>
    <x:row r="78">
      <x:c r="A78" s="101"/>
      <x:c r="B78" s="102"/>
      <x:c r="C78" s="101"/>
      <x:c r="D78" s="101"/>
      <x:c r="E78" s="101"/>
      <x:c r="F78" s="101"/>
      <x:c r="G78" s="101"/>
      <x:c r="H78" s="101"/>
      <x:c r="I78" s="101"/>
      <x:c r="J78" s="101"/>
      <x:c r="K78" s="103"/>
      <x:c r="L78" s="101"/>
      <x:c r="M78" s="101"/>
      <x:c r="N78" s="101"/>
    </x:row>
    <x:row r="79">
      <x:c r="A79" s="101"/>
      <x:c r="B79" s="102"/>
      <x:c r="C79" s="101"/>
      <x:c r="D79" s="101"/>
      <x:c r="E79" s="101"/>
      <x:c r="F79" s="101"/>
      <x:c r="G79" s="101"/>
      <x:c r="H79" s="101"/>
      <x:c r="I79" s="101"/>
      <x:c r="J79" s="101"/>
      <x:c r="K79" s="103"/>
      <x:c r="L79" s="101"/>
      <x:c r="M79" s="101"/>
      <x:c r="N79" s="101"/>
    </x:row>
    <x:row r="80">
      <x:c r="A80" s="101"/>
      <x:c r="B80" s="102"/>
      <x:c r="C80" s="101"/>
      <x:c r="D80" s="101"/>
      <x:c r="E80" s="101"/>
      <x:c r="F80" s="101"/>
      <x:c r="G80" s="101"/>
      <x:c r="H80" s="101"/>
      <x:c r="I80" s="101"/>
      <x:c r="J80" s="101"/>
      <x:c r="K80" s="103"/>
      <x:c r="L80" s="101"/>
      <x:c r="M80" s="101"/>
      <x:c r="N80" s="101"/>
    </x:row>
    <x:row r="81">
      <x:c r="A81" s="101"/>
      <x:c r="B81" s="102"/>
      <x:c r="C81" s="101"/>
      <x:c r="D81" s="101"/>
      <x:c r="E81" s="101"/>
      <x:c r="F81" s="101"/>
      <x:c r="G81" s="101"/>
      <x:c r="H81" s="101"/>
      <x:c r="I81" s="101"/>
      <x:c r="J81" s="101"/>
      <x:c r="K81" s="103"/>
      <x:c r="L81" s="101"/>
      <x:c r="M81" s="101"/>
      <x:c r="N81" s="101"/>
    </x:row>
    <x:row r="82">
      <x:c r="A82" s="101"/>
      <x:c r="B82" s="102"/>
      <x:c r="C82" s="101"/>
      <x:c r="D82" s="101"/>
      <x:c r="E82" s="101"/>
      <x:c r="F82" s="101"/>
      <x:c r="G82" s="101"/>
      <x:c r="H82" s="101"/>
      <x:c r="I82" s="101"/>
      <x:c r="J82" s="101"/>
      <x:c r="K82" s="103"/>
      <x:c r="L82" s="101"/>
      <x:c r="M82" s="101"/>
      <x:c r="N82" s="101"/>
    </x:row>
    <x:row r="83">
      <x:c r="A83" s="101"/>
      <x:c r="B83" s="102"/>
      <x:c r="C83" s="101"/>
      <x:c r="D83" s="101"/>
      <x:c r="E83" s="101"/>
      <x:c r="F83" s="101"/>
      <x:c r="G83" s="101"/>
      <x:c r="H83" s="101"/>
      <x:c r="I83" s="101"/>
      <x:c r="J83" s="101"/>
      <x:c r="K83" s="103"/>
      <x:c r="L83" s="101"/>
      <x:c r="M83" s="101"/>
      <x:c r="N83" s="101"/>
    </x:row>
    <x:row r="84">
      <x:c r="A84" s="101"/>
      <x:c r="B84" s="102"/>
      <x:c r="C84" s="101"/>
      <x:c r="D84" s="101"/>
      <x:c r="E84" s="101"/>
      <x:c r="F84" s="101"/>
      <x:c r="G84" s="101"/>
      <x:c r="H84" s="101"/>
      <x:c r="I84" s="101"/>
      <x:c r="J84" s="101"/>
      <x:c r="K84" s="103"/>
      <x:c r="L84" s="101"/>
      <x:c r="M84" s="101"/>
      <x:c r="N84" s="101"/>
    </x:row>
    <x:row r="85">
      <x:c r="A85" s="101"/>
      <x:c r="B85" s="102"/>
      <x:c r="C85" s="101"/>
      <x:c r="D85" s="101"/>
      <x:c r="E85" s="101"/>
      <x:c r="F85" s="101"/>
      <x:c r="G85" s="101"/>
      <x:c r="H85" s="101"/>
      <x:c r="I85" s="101"/>
      <x:c r="J85" s="101"/>
      <x:c r="K85" s="103"/>
      <x:c r="L85" s="101"/>
      <x:c r="M85" s="101"/>
      <x:c r="N85" s="101"/>
    </x:row>
    <x:row r="86">
      <x:c r="A86" s="101"/>
      <x:c r="B86" s="102"/>
      <x:c r="C86" s="101"/>
      <x:c r="D86" s="101"/>
      <x:c r="E86" s="101"/>
      <x:c r="F86" s="101"/>
      <x:c r="G86" s="101"/>
      <x:c r="H86" s="101"/>
      <x:c r="I86" s="101"/>
      <x:c r="J86" s="101"/>
      <x:c r="K86" s="103"/>
      <x:c r="L86" s="101"/>
      <x:c r="M86" s="101"/>
      <x:c r="N86" s="101"/>
    </x:row>
    <x:row r="87">
      <x:c r="A87" s="101"/>
      <x:c r="B87" s="102"/>
      <x:c r="C87" s="101"/>
      <x:c r="D87" s="101"/>
      <x:c r="E87" s="101"/>
      <x:c r="F87" s="101"/>
      <x:c r="G87" s="101"/>
      <x:c r="H87" s="101"/>
      <x:c r="I87" s="101"/>
      <x:c r="J87" s="101"/>
      <x:c r="K87" s="103"/>
      <x:c r="L87" s="101"/>
      <x:c r="M87" s="101"/>
      <x:c r="N87" s="101"/>
    </x:row>
    <x:row r="88">
      <x:c r="A88" s="101"/>
      <x:c r="B88" s="102"/>
      <x:c r="C88" s="101"/>
      <x:c r="D88" s="101"/>
      <x:c r="E88" s="101"/>
      <x:c r="F88" s="101"/>
      <x:c r="G88" s="101"/>
      <x:c r="H88" s="101"/>
      <x:c r="I88" s="101"/>
      <x:c r="J88" s="101"/>
      <x:c r="K88" s="103"/>
      <x:c r="L88" s="101"/>
      <x:c r="M88" s="101"/>
      <x:c r="N88" s="101"/>
    </x:row>
    <x:row r="89">
      <x:c r="A89" s="101"/>
      <x:c r="B89" s="102"/>
      <x:c r="C89" s="101"/>
      <x:c r="D89" s="101"/>
      <x:c r="E89" s="101"/>
      <x:c r="F89" s="101"/>
      <x:c r="G89" s="101"/>
      <x:c r="H89" s="101"/>
      <x:c r="I89" s="101"/>
      <x:c r="J89" s="101"/>
      <x:c r="K89" s="103"/>
      <x:c r="L89" s="101"/>
      <x:c r="M89" s="101"/>
      <x:c r="N89" s="101"/>
    </x:row>
    <x:row r="90">
      <x:c r="A90" s="101"/>
      <x:c r="B90" s="102"/>
      <x:c r="C90" s="101"/>
      <x:c r="D90" s="101"/>
      <x:c r="E90" s="101"/>
      <x:c r="F90" s="101"/>
      <x:c r="G90" s="101"/>
      <x:c r="H90" s="101"/>
      <x:c r="I90" s="101"/>
      <x:c r="J90" s="101"/>
      <x:c r="K90" s="103"/>
      <x:c r="L90" s="101"/>
      <x:c r="M90" s="101"/>
      <x:c r="N90" s="101"/>
    </x:row>
    <x:row r="91">
      <x:c r="A91" s="101"/>
      <x:c r="B91" s="102"/>
      <x:c r="C91" s="101"/>
      <x:c r="D91" s="101"/>
      <x:c r="E91" s="101"/>
      <x:c r="F91" s="101"/>
      <x:c r="G91" s="101"/>
      <x:c r="H91" s="101"/>
      <x:c r="I91" s="101"/>
      <x:c r="J91" s="101"/>
      <x:c r="K91" s="103"/>
      <x:c r="L91" s="101"/>
      <x:c r="M91" s="101"/>
      <x:c r="N91" s="101"/>
    </x:row>
    <x:row r="92">
      <x:c r="A92" s="101"/>
      <x:c r="B92" s="102"/>
      <x:c r="C92" s="101"/>
      <x:c r="D92" s="101"/>
      <x:c r="E92" s="101"/>
      <x:c r="F92" s="101"/>
      <x:c r="G92" s="101"/>
      <x:c r="H92" s="101"/>
      <x:c r="I92" s="101"/>
      <x:c r="J92" s="101"/>
      <x:c r="K92" s="103"/>
      <x:c r="L92" s="101"/>
      <x:c r="M92" s="101"/>
      <x:c r="N92" s="101"/>
    </x:row>
    <x:row r="93">
      <x:c r="A93" s="101"/>
      <x:c r="B93" s="102"/>
      <x:c r="C93" s="101"/>
      <x:c r="D93" s="101"/>
      <x:c r="E93" s="101"/>
      <x:c r="F93" s="101"/>
      <x:c r="G93" s="101"/>
      <x:c r="H93" s="101"/>
      <x:c r="I93" s="101"/>
      <x:c r="J93" s="101"/>
      <x:c r="K93" s="103"/>
      <x:c r="L93" s="101"/>
      <x:c r="M93" s="101"/>
      <x:c r="N93" s="101"/>
    </x:row>
    <x:row r="94">
      <x:c r="A94" s="101"/>
      <x:c r="B94" s="102"/>
      <x:c r="C94" s="101"/>
      <x:c r="D94" s="101"/>
      <x:c r="E94" s="101"/>
      <x:c r="F94" s="101"/>
      <x:c r="G94" s="101"/>
      <x:c r="H94" s="101"/>
      <x:c r="I94" s="101"/>
      <x:c r="J94" s="101"/>
      <x:c r="K94" s="103"/>
      <x:c r="L94" s="101"/>
      <x:c r="M94" s="101"/>
      <x:c r="N94" s="101"/>
    </x:row>
    <x:row r="95">
      <x:c r="A95" s="101"/>
      <x:c r="B95" s="102"/>
      <x:c r="C95" s="101"/>
      <x:c r="D95" s="101"/>
      <x:c r="E95" s="101"/>
      <x:c r="F95" s="101"/>
      <x:c r="G95" s="101"/>
      <x:c r="H95" s="101"/>
      <x:c r="I95" s="101"/>
      <x:c r="J95" s="101"/>
      <x:c r="K95" s="103"/>
      <x:c r="L95" s="101"/>
      <x:c r="M95" s="101"/>
      <x:c r="N95" s="101"/>
    </x:row>
    <x:row r="96">
      <x:c r="A96" s="101"/>
      <x:c r="B96" s="102"/>
      <x:c r="C96" s="101"/>
      <x:c r="D96" s="101"/>
      <x:c r="E96" s="101"/>
      <x:c r="F96" s="101"/>
      <x:c r="G96" s="101"/>
      <x:c r="H96" s="101"/>
      <x:c r="I96" s="101"/>
      <x:c r="J96" s="101"/>
      <x:c r="K96" s="103"/>
      <x:c r="L96" s="101"/>
      <x:c r="M96" s="101"/>
      <x:c r="N96" s="101"/>
    </x:row>
    <x:row r="97">
      <x:c r="A97" s="101"/>
      <x:c r="B97" s="102"/>
      <x:c r="C97" s="101"/>
      <x:c r="D97" s="101"/>
      <x:c r="E97" s="101"/>
      <x:c r="F97" s="101"/>
      <x:c r="G97" s="101"/>
      <x:c r="H97" s="101"/>
      <x:c r="I97" s="101"/>
      <x:c r="J97" s="101"/>
      <x:c r="K97" s="103"/>
      <x:c r="L97" s="101"/>
      <x:c r="M97" s="101"/>
      <x:c r="N97" s="101"/>
    </x:row>
    <x:row r="98">
      <x:c r="A98" s="101"/>
      <x:c r="B98" s="102"/>
      <x:c r="C98" s="101"/>
      <x:c r="D98" s="101"/>
      <x:c r="E98" s="101"/>
      <x:c r="F98" s="101"/>
      <x:c r="G98" s="101"/>
      <x:c r="H98" s="101"/>
      <x:c r="I98" s="101"/>
      <x:c r="J98" s="101"/>
      <x:c r="K98" s="103"/>
      <x:c r="L98" s="101"/>
      <x:c r="M98" s="101"/>
      <x:c r="N98" s="101"/>
    </x:row>
    <x:row r="99">
      <x:c r="A99" s="101"/>
      <x:c r="B99" s="102"/>
      <x:c r="C99" s="101"/>
      <x:c r="D99" s="101"/>
      <x:c r="E99" s="101"/>
      <x:c r="F99" s="101"/>
      <x:c r="G99" s="101"/>
      <x:c r="H99" s="101"/>
      <x:c r="I99" s="101"/>
      <x:c r="J99" s="101"/>
      <x:c r="K99" s="103"/>
      <x:c r="L99" s="101"/>
      <x:c r="M99" s="101"/>
      <x:c r="N99" s="101"/>
    </x:row>
    <x:row r="100">
      <x:c r="A100" s="101"/>
      <x:c r="B100" s="102"/>
      <x:c r="C100" s="101"/>
      <x:c r="D100" s="101"/>
      <x:c r="E100" s="101"/>
      <x:c r="F100" s="101"/>
      <x:c r="G100" s="101"/>
      <x:c r="H100" s="101"/>
      <x:c r="I100" s="101"/>
      <x:c r="J100" s="101"/>
      <x:c r="K100" s="103"/>
      <x:c r="L100" s="101"/>
      <x:c r="M100" s="101"/>
      <x:c r="N100" s="101"/>
    </x:row>
    <x:row r="101">
      <x:c r="A101" s="101"/>
      <x:c r="B101" s="102"/>
      <x:c r="C101" s="101"/>
      <x:c r="D101" s="101"/>
      <x:c r="E101" s="101"/>
      <x:c r="F101" s="101"/>
      <x:c r="G101" s="101"/>
      <x:c r="H101" s="101"/>
      <x:c r="I101" s="101"/>
      <x:c r="J101" s="101"/>
      <x:c r="K101" s="103"/>
      <x:c r="L101" s="101"/>
      <x:c r="M101" s="101"/>
      <x:c r="N101" s="101"/>
    </x:row>
    <x:row r="102">
      <x:c r="A102" s="101"/>
      <x:c r="B102" s="102"/>
      <x:c r="C102" s="101"/>
      <x:c r="D102" s="101"/>
      <x:c r="E102" s="101"/>
      <x:c r="F102" s="101"/>
      <x:c r="G102" s="101"/>
      <x:c r="H102" s="101"/>
      <x:c r="I102" s="101"/>
      <x:c r="J102" s="101"/>
      <x:c r="K102" s="103"/>
      <x:c r="L102" s="101"/>
      <x:c r="M102" s="101"/>
      <x:c r="N102" s="101"/>
    </x:row>
    <x:row r="103">
      <x:c r="A103" s="104"/>
      <x:c r="B103" s="105"/>
      <x:c r="C103" s="104"/>
      <x:c r="D103" s="104"/>
      <x:c r="E103" s="104"/>
      <x:c r="F103" s="104"/>
      <x:c r="G103" s="104"/>
      <x:c r="H103" s="104"/>
      <x:c r="I103" s="104"/>
      <x:c r="J103" s="104"/>
      <x:c r="K103" s="106"/>
      <x:c r="L103" s="104"/>
      <x:c r="M103" s="104"/>
      <x:c r="N103" s="104"/>
    </x:row>
  </x:sheetData>
  <x:mergeCells>
    <x:mergeCell ref="A1:N1"/>
  </x:mergeCells>
  <x:dataValidations count="7">
    <x:dataValidation type="list" sqref="C4:C103">
      <x:formula1>"siren,chainsaw,glass_breaking,screaming,gunshot_gunfire,fire_alarm,thunderstorm,crackling_fire"</x:formula1>
    </x:dataValidation>
    <x:dataValidation type="list" sqref="G4:G103">
      <x:formula1>"quiet,speech,music,room_noise,hard_negative"</x:formula1>
    </x:dataValidation>
    <x:dataValidation type="list" sqref="I4:I103">
      <x:formula1>"0,1"</x:formula1>
    </x:dataValidation>
    <x:dataValidation type="list" sqref="M4:M103">
      <x:formula1>"0,1"</x:formula1>
    </x:dataValidation>
    <x:dataValidation type="decimal" operator="between" sqref="F4:F103">
      <x:formula1>0.1</x:formula1>
      <x:formula2>5</x:formula2>
    </x:dataValidation>
    <x:dataValidation type="whole" operator="between" sqref="H4:H103">
      <x:formula1>1</x:formula1>
      <x:formula2>100</x:formula2>
    </x:dataValidation>
    <x:dataValidation type="decimal" operator="between" sqref="K4:K103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0938caa353d4c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1" hidden="0" customWidth="1"/>
    <x:col min="5" max="5" width="33" hidden="0" customWidth="1"/>
    <x:col min="6" max="6" width="33" hidden="0" customWidth="1"/>
  </x:cols>
  <x:sheetData>
    <x:row r="1" ht="34" customHeight="1">
      <x:c r="A1" s="52" t="str">
        <x:v>Hazard Candidate Selection Protocol</x:v>
      </x:c>
      <x:c r="B1" s="52" t="str">
        <x:v>Hazard Candidate Selection Protocol</x:v>
      </x:c>
      <x:c r="C1" s="52" t="str">
        <x:v>Hazard Candidate Selection Protocol</x:v>
      </x:c>
      <x:c r="D1" s="52" t="str">
        <x:v>Hazard Candidate Selection Protocol</x:v>
      </x:c>
      <x:c r="E1" s="52" t="str">
        <x:v>Hazard Candidate Selection Protocol</x:v>
      </x:c>
      <x:c r="F1" s="52" t="str">
        <x:v>Hazard Candidate Selection Protocol</x:v>
      </x:c>
    </x:row>
    <x:row r="3" ht="15" hidden="0" customHeight="1">
      <x:c r="A3" s="18" t="str">
        <x:v>Scoring component</x:v>
      </x:c>
      <x:c r="B3" s="20" t="str">
        <x:v>Weight</x:v>
      </x:c>
      <x:c r="C3" s="56"/>
      <x:c r="D3" s="18" t="str">
        <x:v>Source</x:v>
      </x:c>
      <x:c r="E3" s="19" t="str">
        <x:v>Purpose</x:v>
      </x:c>
      <x:c r="F3" s="20" t="str">
        <x:v>URL</x:v>
      </x:c>
    </x:row>
    <x:row r="4" ht="15" hidden="0" customHeight="1">
      <x:c r="A4" s="56" t="str">
        <x:v>Board playback recall</x:v>
      </x:c>
      <x:c r="B4" s="57" t="n">
        <x:v>0.35</x:v>
      </x:c>
      <x:c r="C4" s="56"/>
      <x:c r="D4" s="56" t="str">
        <x:v>ESC-50</x:v>
      </x:c>
      <x:c r="E4" s="56" t="str">
        <x:v>Source-separated public baseline</x:v>
      </x:c>
      <x:c r="F4" s="56" t="str">
        <x:v>https://github.com/karolpiczak/esc-50</x:v>
      </x:c>
    </x:row>
    <x:row r="5" ht="15" hidden="0" customHeight="1">
      <x:c r="A5" s="56" t="str">
        <x:v>Inter-danger separation</x:v>
      </x:c>
      <x:c r="B5" s="57" t="n">
        <x:v>0.25</x:v>
      </x:c>
      <x:c r="C5" s="56"/>
      <x:c r="D5" s="56" t="str">
        <x:v>FSD50K</x:v>
      </x:c>
      <x:c r="E5" s="56" t="str">
        <x:v>Screaming/gunshot and additional diversity</x:v>
      </x:c>
      <x:c r="F5" s="56" t="str">
        <x:v>https://zenodo.org/records/4060432</x:v>
      </x:c>
    </x:row>
    <x:row r="6" ht="26.399999618530273" hidden="0" customHeight="1">
      <x:c r="A6" s="56" t="str">
        <x:v>Hard-negative resistance</x:v>
      </x:c>
      <x:c r="B6" s="57" t="n">
        <x:v>0.2</x:v>
      </x:c>
      <x:c r="C6" s="56"/>
      <x:c r="D6" s="56" t="str">
        <x:v>YAMNet</x:v>
      </x:c>
      <x:c r="E6" s="56" t="str">
        <x:v>Pretrained embedding backbone</x:v>
      </x:c>
      <x:c r="F6" s="56" t="str">
        <x:v>https://github.com/tensorflow/models/tree/master/research/audioset/yamnet</x:v>
      </x:c>
    </x:row>
    <x:row r="7" ht="26.399999618530273" hidden="0" customHeight="1">
      <x:c r="A7" s="56" t="str">
        <x:v>Offline test performance</x:v>
      </x:c>
      <x:c r="B7" s="57" t="n">
        <x:v>0.1</x:v>
      </x:c>
      <x:c r="C7" s="56"/>
      <x:c r="D7" s="56" t="str">
        <x:v>Project catalog</x:v>
      </x:c>
      <x:c r="E7" s="56" t="str">
        <x:v>Auditable source-item mapping</x:v>
      </x:c>
      <x:c r="F7" s="56" t="str">
        <x:v>ml/data/hazard_candidates/hazard_candidate_catalog.csv</x:v>
      </x:c>
    </x:row>
    <x:row r="8" ht="26.399999618530273" hidden="0" customHeight="1">
      <x:c r="A8" s="56" t="str">
        <x:v>Confidence/latency stability</x:v>
      </x:c>
      <x:c r="B8" s="57" t="n">
        <x:v>0.1</x:v>
      </x:c>
      <x:c r="C8" s="56"/>
      <x:c r="D8" s="56" t="str">
        <x:v>Hard negatives</x:v>
      </x:c>
      <x:c r="E8" s="56" t="str">
        <x:v>Confuser test plan</x:v>
      </x:c>
      <x:c r="F8" s="56" t="str">
        <x:v>ml/data/hazard_candidates/hard_negative_plan.csv</x:v>
      </x:c>
    </x:row>
    <x:row r="9" ht="15" hidden="0" customHeight="1">
      <x:c r="A9" s="56"/>
      <x:c r="B9" s="56"/>
      <x:c r="C9" s="56"/>
      <x:c r="D9" s="56"/>
      <x:c r="E9" s="56"/>
      <x:c r="F9" s="56"/>
    </x:row>
    <x:row r="10" ht="15" hidden="0" customHeight="1">
      <x:c r="A10" s="18" t="str">
        <x:v>Selection gate</x:v>
      </x:c>
      <x:c r="B10" s="20" t="str">
        <x:v>Target</x:v>
      </x:c>
      <x:c r="C10" s="56"/>
      <x:c r="D10" s="56"/>
      <x:c r="E10" s="56"/>
      <x:c r="F10" s="56"/>
    </x:row>
    <x:row r="11" ht="15" hidden="0" customHeight="1">
      <x:c r="A11" s="56" t="str">
        <x:v>Minimum offline recall</x:v>
      </x:c>
      <x:c r="B11" s="57" t="n">
        <x:v>0.85</x:v>
      </x:c>
      <x:c r="C11" s="56"/>
      <x:c r="D11" s="56"/>
      <x:c r="E11" s="56"/>
      <x:c r="F11" s="56"/>
    </x:row>
    <x:row r="12" ht="15" hidden="0" customHeight="1">
      <x:c r="A12" s="56" t="str">
        <x:v>Maximum pairwise confusion</x:v>
      </x:c>
      <x:c r="B12" s="57" t="n">
        <x:v>0.15</x:v>
      </x:c>
      <x:c r="C12" s="56"/>
      <x:c r="D12" s="56"/>
      <x:c r="E12" s="56"/>
      <x:c r="F12" s="56"/>
    </x:row>
    <x:row r="13" ht="15" hidden="0" customHeight="1">
      <x:c r="A13" s="56" t="str">
        <x:v>Minimum board playback recall</x:v>
      </x:c>
      <x:c r="B13" s="57" t="n">
        <x:v>0.8</x:v>
      </x:c>
      <x:c r="C13" s="56"/>
      <x:c r="D13" s="56"/>
      <x:c r="E13" s="56"/>
      <x:c r="F13" s="56"/>
    </x:row>
    <x:row r="14" ht="26.399999618530273" hidden="0" customHeight="1">
      <x:c r="A14" s="56" t="str">
        <x:v>Maximum hard-negative trigger rate</x:v>
      </x:c>
      <x:c r="B14" s="57" t="n">
        <x:v>0.1</x:v>
      </x:c>
      <x:c r="C14" s="56"/>
      <x:c r="D14" s="56"/>
      <x:c r="E14" s="56"/>
      <x:c r="F14" s="56"/>
    </x:row>
    <x:row r="15" ht="15" hidden="0" customHeight="1">
      <x:c r="A15" s="56"/>
      <x:c r="B15" s="56"/>
      <x:c r="C15" s="56"/>
      <x:c r="D15" s="56"/>
      <x:c r="E15" s="56"/>
      <x:c r="F15" s="56"/>
    </x:row>
    <x:row r="16" ht="15" hidden="0" customHeight="1">
      <x:c r="A16" s="18" t="str">
        <x:v>Workflow step</x:v>
      </x:c>
      <x:c r="B16" s="19" t="str">
        <x:v>Owner</x:v>
      </x:c>
      <x:c r="C16" s="19" t="str">
        <x:v>Status</x:v>
      </x:c>
      <x:c r="D16" s="19" t="str">
        <x:v>Input</x:v>
      </x:c>
      <x:c r="E16" s="19" t="str">
        <x:v>Output</x:v>
      </x:c>
      <x:c r="F16" s="20" t="str">
        <x:v>Stop/go condition</x:v>
      </x:c>
    </x:row>
    <x:row r="17" ht="15" hidden="0" customHeight="1">
      <x:c r="A17" s="56" t="str">
        <x:v>Freeze baseline</x:v>
      </x:c>
      <x:c r="B17" s="56" t="str">
        <x:v>Codex</x:v>
      </x:c>
      <x:c r="C17" s="56" t="str">
        <x:v>Complete</x:v>
      </x:c>
      <x:c r="D17" s="56" t="str">
        <x:v>Validated dashboard</x:v>
      </x:c>
      <x:c r="E17" s="56" t="str">
        <x:v>Hashes and source commit</x:v>
      </x:c>
      <x:c r="F17" s="56" t="str">
        <x:v>Rollback is reproducible</x:v>
      </x:c>
    </x:row>
    <x:row r="18" ht="15" hidden="0" customHeight="1">
      <x:c r="A18" s="56" t="str">
        <x:v>Audit candidate data</x:v>
      </x:c>
      <x:c r="B18" s="56" t="str">
        <x:v>Codex</x:v>
      </x:c>
      <x:c r="C18" s="56" t="str">
        <x:v>Complete</x:v>
      </x:c>
      <x:c r="D18" s="56" t="str">
        <x:v>ESC-50 plus FSD50K metadata</x:v>
      </x:c>
      <x:c r="E18" s="56" t="str">
        <x:v>Catalog and counts</x:v>
      </x:c>
      <x:c r="F18" s="56" t="str">
        <x:v>Sources are explicit</x:v>
      </x:c>
    </x:row>
    <x:row r="19" ht="15" hidden="0" customHeight="1">
      <x:c r="A19" s="56" t="str">
        <x:v>Preliminary embedding study</x:v>
      </x:c>
      <x:c r="B19" s="56" t="str">
        <x:v>Codex</x:v>
      </x:c>
      <x:c r="C19" s="56" t="str">
        <x:v>Complete</x:v>
      </x:c>
      <x:c r="D19" s="56" t="str">
        <x:v>Available ESC-50 candidates</x:v>
      </x:c>
      <x:c r="E19" s="56" t="str">
        <x:v>Metrics and plots</x:v>
      </x:c>
      <x:c r="F19" s="56" t="str">
        <x:v>Reserved test untouched</x:v>
      </x:c>
    </x:row>
    <x:row r="20" ht="15" hidden="0" customHeight="1">
      <x:c r="A20" s="56" t="str">
        <x:v>Acquire development audio</x:v>
      </x:c>
      <x:c r="B20" s="56" t="str">
        <x:v>Codex</x:v>
      </x:c>
      <x:c r="C20" s="56" t="str">
        <x:v>Complete</x:v>
      </x:c>
      <x:c r="D20" s="56" t="str">
        <x:v>Official FSD50K development archive</x:v>
      </x:c>
      <x:c r="E20" s="56" t="str">
        <x:v>40,966 verified WAV files</x:v>
      </x:c>
      <x:c r="F20" s="56" t="str">
        <x:v>All six MD5 hashes pass</x:v>
      </x:c>
    </x:row>
    <x:row r="21" ht="15" hidden="0" customHeight="1">
      <x:c r="A21" s="56" t="str">
        <x:v>Seven-candidate study</x:v>
      </x:c>
      <x:c r="B21" s="56" t="str">
        <x:v>Codex</x:v>
      </x:c>
      <x:c r="C21" s="56" t="str">
        <x:v>Complete</x:v>
      </x:c>
      <x:c r="D21" s="56" t="str">
        <x:v>ESC-50 and FSD50K development</x:v>
      </x:c>
      <x:c r="E21" s="56" t="str">
        <x:v>Full similarity and confusion</x:v>
      </x:c>
      <x:c r="F21" s="56" t="str">
        <x:v>Weak candidates identified</x:v>
      </x:c>
    </x:row>
    <x:row r="22" ht="15" hidden="0" customHeight="1">
      <x:c r="A22" s="56" t="str">
        <x:v>Five-class ablation</x:v>
      </x:c>
      <x:c r="B22" s="56" t="str">
        <x:v>Codex</x:v>
      </x:c>
      <x:c r="C22" s="56" t="str">
        <x:v>Complete</x:v>
      </x:c>
      <x:c r="D22" s="56" t="str">
        <x:v>Provisional class set</x:v>
      </x:c>
      <x:c r="E22" s="56" t="str">
        <x:v>97.16% validation accuracy</x:v>
      </x:c>
      <x:c r="F22" s="56" t="str">
        <x:v>Every offline recall gate passes</x:v>
      </x:c>
    </x:row>
    <x:row r="23" ht="15" hidden="0" customHeight="1">
      <x:c r="A23" s="56" t="str">
        <x:v>Board playback pilot</x:v>
      </x:c>
      <x:c r="B23" s="56" t="str">
        <x:v>User + Codex</x:v>
      </x:c>
      <x:c r="C23" s="56" t="str">
        <x:v>Pending</x:v>
      </x:c>
      <x:c r="D23" s="56" t="str">
        <x:v>Deployed five-class firmware</x:v>
      </x:c>
      <x:c r="E23" s="56" t="str">
        <x:v>UART trial log</x:v>
      </x:c>
      <x:c r="F23" s="56" t="str">
        <x:v>Playback and hard-negative gates pass</x:v>
      </x:c>
    </x:row>
  </x:sheetData>
  <x:mergeCells>
    <x:mergeCell ref="A1:F1"/>
  </x:mergeCells>
  <x:conditionalFormatting sqref="C17:C23">
    <x:cfRule type="containsText" dxfId="1" priority="1" operator="containsText" text="Complete"/>
    <x:cfRule type="containsText" dxfId="2" priority="2" operator="containsText" text="Blocked"/>
  </x:conditionalFormatting>
  <x:pageMargins left="0.7" right="0.7" top="0.75" bottom="0.75" header="0.3" footer="0.3"/>
</x:worksheet>
</file>